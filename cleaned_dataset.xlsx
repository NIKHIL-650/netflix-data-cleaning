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data analyst_internship\"/>
    </mc:Choice>
  </mc:AlternateContent>
  <xr:revisionPtr revIDLastSave="0" documentId="8_{965E3855-D147-4D81-8EA3-6ADAE86F6B46}" xr6:coauthVersionLast="47" xr6:coauthVersionMax="47" xr10:uidLastSave="{00000000-0000-0000-0000-000000000000}"/>
  <bookViews>
    <workbookView xWindow="-108" yWindow="-108" windowWidth="23256" windowHeight="12456" xr2:uid="{0E08ACED-3229-422E-973F-40552B2231AB}"/>
  </bookViews>
  <sheets>
    <sheet name="netflix_titles" sheetId="1" r:id="rId1"/>
    <sheet name="Cleaned-data" sheetId="2" r:id="rId2"/>
  </sheets>
  <definedNames>
    <definedName name="_xlnm._FilterDatabase" localSheetId="0" hidden="1">netflix_titles!$A$1:$L$515</definedName>
  </definedNames>
  <calcPr calcId="0"/>
</workbook>
</file>

<file path=xl/calcChain.xml><?xml version="1.0" encoding="utf-8"?>
<calcChain xmlns="http://schemas.openxmlformats.org/spreadsheetml/2006/main">
  <c r="I3" i="2" l="1"/>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2"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G508" i="2"/>
  <c r="G509" i="2"/>
  <c r="G510" i="2"/>
  <c r="G511" i="2"/>
  <c r="G512" i="2"/>
  <c r="G513" i="2"/>
  <c r="G514" i="2"/>
  <c r="G515" i="2"/>
  <c r="G2" i="2"/>
</calcChain>
</file>

<file path=xl/sharedStrings.xml><?xml version="1.0" encoding="utf-8"?>
<sst xmlns="http://schemas.openxmlformats.org/spreadsheetml/2006/main" count="6701" uniqueCount="2970">
  <si>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</si>
  <si>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</si>
  <si>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</si>
  <si>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</si>
  <si>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</si>
  <si>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</si>
  <si>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</si>
  <si>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</si>
  <si>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</si>
  <si>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</si>
  <si>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</si>
  <si>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</si>
  <si>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</si>
  <si>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</si>
  <si>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</si>
  <si>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</si>
  <si>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</si>
  <si>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</si>
  <si>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</si>
  <si>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</si>
  <si>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</si>
  <si>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</si>
  <si>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</si>
  <si>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</si>
  <si>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</si>
  <si>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</si>
  <si>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</si>
  <si>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</si>
  <si>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</si>
  <si>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</si>
  <si>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</si>
  <si>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</si>
  <si>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</si>
  <si>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</si>
  <si>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</si>
  <si>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</si>
  <si>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</si>
  <si>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</si>
  <si>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</si>
  <si>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</si>
  <si>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</si>
  <si>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</si>
  <si>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</si>
  <si>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</si>
  <si>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</si>
  <si>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</si>
  <si>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</si>
  <si>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</si>
  <si>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</si>
  <si>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</si>
  <si>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</si>
  <si>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</si>
  <si>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</si>
  <si>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</si>
  <si>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</si>
  <si>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</si>
  <si>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</si>
  <si>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</si>
  <si>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</si>
  <si>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</si>
  <si>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</si>
  <si>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</si>
  <si>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</si>
  <si>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</si>
  <si>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</si>
  <si>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</si>
  <si>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</si>
  <si>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</si>
  <si>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</si>
  <si>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</si>
  <si>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</si>
  <si>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</si>
  <si>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</si>
  <si>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</si>
  <si>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</si>
  <si>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</si>
  <si>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</si>
  <si>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</si>
  <si>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</si>
  <si>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</si>
  <si>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</si>
  <si>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</si>
  <si>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</si>
  <si>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</si>
  <si>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</si>
  <si>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</si>
  <si>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</si>
  <si>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</si>
  <si>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</si>
  <si>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s13</t>
  </si>
  <si>
    <t>Je Suis Karl</t>
  </si>
  <si>
    <t>Christian Schwochow</t>
  </si>
  <si>
    <t>Luna Wedler, Jannis NiewÃ¶hner, Milan Peschel, Edin HasanoviÄ‡, Anna FialovÃ¡, Marlon Boess, Victor Boccard, Fleur Geffrier, Aziz Dyab, MÃ©lanie FouchÃ©, Elizaveta MaximovÃ¡</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</si>
  <si>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</si>
  <si>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</si>
  <si>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</si>
  <si>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</si>
  <si>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</si>
  <si>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</si>
  <si>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</si>
  <si>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</si>
  <si>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</si>
  <si>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</si>
  <si>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</si>
  <si>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</si>
  <si>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</si>
  <si>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</si>
  <si>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</si>
  <si>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</si>
  <si>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</si>
  <si>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</si>
  <si>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</si>
  <si>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</si>
  <si>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</si>
  <si>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</si>
  <si>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</si>
  <si>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</si>
  <si>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</si>
  <si>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</si>
  <si>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</si>
  <si>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</si>
  <si>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</si>
  <si>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</si>
  <si>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</si>
  <si>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</si>
  <si>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</si>
  <si>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</si>
  <si>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</si>
  <si>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</si>
  <si>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</si>
  <si>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</si>
  <si>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</si>
  <si>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</si>
  <si>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</si>
  <si>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</si>
  <si>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</si>
  <si>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s22</t>
  </si>
  <si>
    <t>Resurrection: Ertugrul</t>
  </si>
  <si>
    <t>Engin Altan DÃ¼zyatan, Serdar GÃ¶khan, HÃ¼lya Darcan, Kaan TaÅŸaner, Esra BilgiÃ§, Osman Soykut, Serdar Deniz, Cengiz CoÅŸkun, Reshad Strik, Hande SubaÅŸÄ±</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</si>
  <si>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</si>
  <si>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</si>
  <si>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</si>
  <si>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</si>
  <si>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</si>
  <si>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</si>
  <si>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</si>
  <si>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</si>
  <si>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</si>
  <si>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</si>
  <si>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TV-Y</t>
  </si>
  <si>
    <t>61 min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</si>
  <si>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</si>
  <si>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</si>
  <si>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</si>
  <si>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</si>
  <si>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</si>
  <si>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</si>
  <si>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</si>
  <si>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</si>
  <si>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</si>
  <si>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</si>
  <si>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</si>
  <si>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</si>
  <si>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</si>
  <si>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</si>
  <si>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</si>
  <si>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</si>
  <si>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</si>
  <si>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</si>
  <si>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</si>
  <si>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</si>
  <si>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</si>
  <si>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</si>
  <si>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</si>
  <si>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</si>
  <si>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</si>
  <si>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</si>
  <si>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</si>
  <si>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</si>
  <si>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</si>
  <si>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</si>
  <si>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97 min</t>
  </si>
  <si>
    <t>Horror Movies, Sci-Fi &amp; Fantasy</t>
  </si>
  <si>
    <t>A familyâ€™s idyllic suburban life shatters when an alien force invades their home, and as they struggle to convince others of the deadly threat.</t>
  </si>
  <si>
    <t>106 min</t>
  </si>
  <si>
    <t>111 min</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</si>
  <si>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</si>
  <si>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</si>
  <si>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</si>
  <si>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</si>
  <si>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</si>
  <si>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</si>
  <si>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</si>
  <si>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</si>
  <si>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</si>
  <si>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</si>
  <si>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</si>
  <si>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</si>
  <si>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</si>
  <si>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</si>
  <si>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</si>
  <si>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</si>
  <si>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</si>
  <si>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</si>
  <si>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</si>
  <si>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</si>
  <si>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</si>
  <si>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</si>
  <si>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</si>
  <si>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</si>
  <si>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</si>
  <si>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</si>
  <si>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</si>
  <si>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</si>
  <si>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</si>
  <si>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</si>
  <si>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</si>
  <si>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</si>
  <si>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</si>
  <si>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</si>
  <si>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</si>
  <si>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</si>
  <si>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</si>
  <si>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</si>
  <si>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</si>
  <si>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</si>
  <si>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</si>
  <si>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</si>
  <si>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</si>
  <si>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</si>
  <si>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</si>
  <si>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96 min</t>
  </si>
  <si>
    <t>Action &amp; Adventure, Dramas</t>
  </si>
  <si>
    <t>A young Bruce Lee angers kung fu traditionalists by teaching outsiders, leading to a showdown with a Shaolin master in this film based on real events.</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</si>
  <si>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</si>
  <si>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</si>
  <si>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</si>
  <si>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</si>
  <si>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</si>
  <si>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</si>
  <si>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</si>
  <si>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</si>
  <si>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</si>
  <si>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</si>
  <si>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</si>
  <si>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</si>
  <si>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</si>
  <si>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</si>
  <si>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</si>
  <si>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</si>
  <si>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</si>
  <si>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</si>
  <si>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</si>
  <si>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</si>
  <si>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</si>
  <si>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</si>
  <si>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</si>
  <si>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</si>
  <si>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</si>
  <si>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</si>
  <si>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s47</t>
  </si>
  <si>
    <t>Safe House</t>
  </si>
  <si>
    <t>Daniel Espinosa</t>
  </si>
  <si>
    <t>Denzel Washington, Ryan Reynolds, Vera Farmiga, Brendan Gleeson, Sam Shepard, RubÃ©n Blades, Nora Arnezeder, Robert Patrick, Liam Cunningham, Joel Kinnaman</t>
  </si>
  <si>
    <t>R</t>
  </si>
  <si>
    <t>115 min</t>
  </si>
  <si>
    <t>Action &amp; Adventure</t>
  </si>
  <si>
    <t>Young CIA operative Matt Weston must get a dangerous criminal out of an agency safe house that's come under attack and get him to a securer location.</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</si>
  <si>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</si>
  <si>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</si>
  <si>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</si>
  <si>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</si>
  <si>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</si>
  <si>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</si>
  <si>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</si>
  <si>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</si>
  <si>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</si>
  <si>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</si>
  <si>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</si>
  <si>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</si>
  <si>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</si>
  <si>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</si>
  <si>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</si>
  <si>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</si>
  <si>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</si>
  <si>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</si>
  <si>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</si>
  <si>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</si>
  <si>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</si>
  <si>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99 min</t>
  </si>
  <si>
    <t>Action &amp; Adventure, Anime Features, International Movies</t>
  </si>
  <si>
    <t>With their biggest foe seemingly defeated, InuYasha and his friends return to everyday life. But the peace is soon shattered by an emerging new enemy.</t>
  </si>
  <si>
    <t>88 min</t>
  </si>
  <si>
    <t>100 min</t>
  </si>
  <si>
    <t>s56</t>
  </si>
  <si>
    <t>Nailed It</t>
  </si>
  <si>
    <t>Nicole Byer, Jacques Torres</t>
  </si>
  <si>
    <t>6 Seasons</t>
  </si>
  <si>
    <t>Reality TV</t>
  </si>
  <si>
    <t>Home bakers with a terrible track record take a crack at re-creating edible masterpieces for a $10,000 prize. It's part reality contest, part hot mess.</t>
  </si>
  <si>
    <t>102 min</t>
  </si>
  <si>
    <t>93 min</t>
  </si>
  <si>
    <t>95 min</t>
  </si>
  <si>
    <t>85 min</t>
  </si>
  <si>
    <t>83 min</t>
  </si>
  <si>
    <t>s67</t>
  </si>
  <si>
    <t>Raja Rasoi Aur Anya Kahaniyan</t>
  </si>
  <si>
    <t>TV-G</t>
  </si>
  <si>
    <t>Docuseries, International TV Shows</t>
  </si>
  <si>
    <t>Explore the history and flavors of regional Indian cuisine, from traditional Kashmiri feasts to the vegetarian dishes of Gujarat.</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</si>
  <si>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</si>
  <si>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</si>
  <si>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</si>
  <si>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</si>
  <si>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</si>
  <si>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</si>
  <si>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</si>
  <si>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</si>
  <si>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</si>
  <si>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</si>
  <si>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</si>
  <si>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</si>
  <si>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</si>
  <si>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</si>
  <si>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</si>
  <si>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</si>
  <si>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</si>
  <si>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Kemi Adetiba</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</si>
  <si>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</si>
  <si>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</si>
  <si>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</si>
  <si>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</si>
  <si>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</si>
  <si>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</si>
  <si>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</si>
  <si>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</si>
  <si>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</si>
  <si>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</si>
  <si>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</si>
  <si>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</si>
  <si>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</si>
  <si>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</si>
  <si>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</si>
  <si>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</si>
  <si>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</si>
  <si>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</si>
  <si>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</si>
  <si>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</si>
  <si>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</si>
  <si>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</si>
  <si>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</si>
  <si>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</si>
  <si>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</si>
  <si>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</si>
  <si>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</si>
  <si>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</si>
  <si>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</si>
  <si>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</si>
  <si>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</si>
  <si>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</si>
  <si>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</si>
  <si>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</si>
  <si>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</si>
  <si>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</si>
  <si>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</si>
  <si>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</si>
  <si>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</si>
  <si>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</si>
  <si>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</si>
  <si>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</si>
  <si>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</si>
  <si>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</si>
  <si>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</si>
  <si>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</si>
  <si>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s91</t>
  </si>
  <si>
    <t>Paradise Hills</t>
  </si>
  <si>
    <t>Alice Waddington</t>
  </si>
  <si>
    <t>Emma Roberts, Danielle Macdonald, Awkwafina, Eiza GonzÃ¡lez, Milla Jovovich, Jeremy Irvine, Arnaud Valois, Daniel Horvath</t>
  </si>
  <si>
    <t>Sci-Fi &amp; Fantasy, Thrillers</t>
  </si>
  <si>
    <t>Uma wakes up in a lush tropical facility designed to turn willful girls into perfect ladies. Thatâ€™s bad enough, but its real purpose is even worse.</t>
  </si>
  <si>
    <t>92 min</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</si>
  <si>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</si>
  <si>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</si>
  <si>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</si>
  <si>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</si>
  <si>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</si>
  <si>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</si>
  <si>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</si>
  <si>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</si>
  <si>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</si>
  <si>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</si>
  <si>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</si>
  <si>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</si>
  <si>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</si>
  <si>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</si>
  <si>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</si>
  <si>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</si>
  <si>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</si>
  <si>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</si>
  <si>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</si>
  <si>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</si>
  <si>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</si>
  <si>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</si>
  <si>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</si>
  <si>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</si>
  <si>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</si>
  <si>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</si>
  <si>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</si>
  <si>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117 min</t>
  </si>
  <si>
    <t>128 min</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</si>
  <si>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</si>
  <si>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</si>
  <si>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</si>
  <si>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</si>
  <si>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</si>
  <si>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</si>
  <si>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</si>
  <si>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</si>
  <si>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</si>
  <si>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</si>
  <si>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</si>
  <si>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</si>
  <si>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</si>
  <si>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</si>
  <si>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</si>
  <si>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</si>
  <si>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</si>
  <si>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</si>
  <si>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</si>
  <si>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</si>
  <si>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</si>
  <si>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</si>
  <si>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</si>
  <si>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</si>
  <si>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</si>
  <si>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</si>
  <si>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</si>
  <si>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</si>
  <si>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</si>
  <si>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</si>
  <si>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</si>
  <si>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</si>
  <si>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</si>
  <si>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</si>
  <si>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</si>
  <si>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s116</t>
  </si>
  <si>
    <t>Bright Star</t>
  </si>
  <si>
    <t>Jane Campion</t>
  </si>
  <si>
    <t>Abbie Cornish, Ben Whishaw, Paul Schneider, Kerry Fox, Edie Martin, Thomas Brodie-Sangster, Claudie Blakley, Gerard Monaco, Antonia Campbell-Hughes, Samuel Roukin</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</si>
  <si>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</si>
  <si>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</si>
  <si>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</si>
  <si>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</si>
  <si>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</si>
  <si>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</si>
  <si>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</si>
  <si>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</si>
  <si>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</si>
  <si>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118 min</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</si>
  <si>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</si>
  <si>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</si>
  <si>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</si>
  <si>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</si>
  <si>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</si>
  <si>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108 min</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</si>
  <si>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</si>
  <si>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</si>
  <si>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</si>
  <si>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</si>
  <si>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</si>
  <si>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</si>
  <si>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</si>
  <si>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</si>
  <si>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</si>
  <si>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</si>
  <si>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</si>
  <si>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</si>
  <si>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</si>
  <si>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</si>
  <si>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</si>
  <si>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</si>
  <si>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</si>
  <si>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</si>
  <si>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</si>
  <si>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</si>
  <si>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</si>
  <si>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</si>
  <si>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121 min</t>
  </si>
  <si>
    <t>Action &amp; Adventure, Sci-Fi &amp; Fantasy</t>
  </si>
  <si>
    <t>In a futuristic society where an indestructible robot police force keeps crime at bay, a lone droid evolves to the next level of artificial intelligence.</t>
  </si>
  <si>
    <t>Renny Harlin</t>
  </si>
  <si>
    <t>s138</t>
  </si>
  <si>
    <t>Crocodile Dundee in Los Angeles</t>
  </si>
  <si>
    <t>Simon Wincer</t>
  </si>
  <si>
    <t>Paul Hogan, Linda Kozlowski, Jere Burns, Jonathan Banks, Aida Turturro, Alec Wilson, Gerry Skilton, Steve Rackman, Serge Cockburn, Paul Rodriguez, Mark Adair-Rios, Tiriel Mora, Grant Piro, Mike Tyson</t>
  </si>
  <si>
    <t>Action &amp; Adventure, Comedies</t>
  </si>
  <si>
    <t>When Mick "Crocodile" Dundee and his family land in Los Angeles, they soon learn some lessons about American life in this comedy sequel.</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</si>
  <si>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</si>
  <si>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</si>
  <si>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</si>
  <si>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</si>
  <si>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</si>
  <si>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</si>
  <si>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</si>
  <si>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</si>
  <si>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</si>
  <si>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</si>
  <si>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</si>
  <si>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</si>
  <si>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</si>
  <si>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</si>
  <si>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</si>
  <si>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</si>
  <si>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</si>
  <si>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</si>
  <si>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</si>
  <si>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</si>
  <si>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</si>
  <si>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</si>
  <si>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</si>
  <si>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</si>
  <si>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</si>
  <si>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</si>
  <si>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</si>
  <si>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</si>
  <si>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</si>
  <si>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</si>
  <si>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</si>
  <si>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s152</t>
  </si>
  <si>
    <t>Initial D</t>
  </si>
  <si>
    <t>Andrew Lau Wai-keung, Alan Mak</t>
  </si>
  <si>
    <t>Jay Chou, Anne Suzuki, Edison Chen, Anthony Wong Chau-sang, Shawn Yue, Chapman To, Jordan Chan, Kenny Bee</t>
  </si>
  <si>
    <t>109 min</t>
  </si>
  <si>
    <t>Action &amp; Adventure, International Movies</t>
  </si>
  <si>
    <t>By day, an 18-year-old delivers tofu for his father, a retired race car driver; but by night, it's the teen's turn to take the wheel.</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</si>
  <si>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</si>
  <si>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</si>
  <si>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</si>
  <si>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</si>
  <si>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</si>
  <si>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</si>
  <si>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</si>
  <si>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</si>
  <si>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</si>
  <si>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</si>
  <si>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</si>
  <si>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</si>
  <si>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</si>
  <si>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</si>
  <si>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</si>
  <si>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</si>
  <si>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</si>
  <si>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</si>
  <si>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</si>
  <si>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</si>
  <si>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</si>
  <si>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</si>
  <si>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</si>
  <si>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</si>
  <si>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86 min</t>
  </si>
  <si>
    <t>s167</t>
  </si>
  <si>
    <t>Once Upon a Time in America</t>
  </si>
  <si>
    <t>Sergio Leone</t>
  </si>
  <si>
    <t>Robert De Niro, James Woods, Elizabeth McGovern, Treat Williams, Tuesday Weld, Burt Young, Joe Pesci, Danny Aiello, William Forsythe, James Hayden</t>
  </si>
  <si>
    <t>229 min</t>
  </si>
  <si>
    <t>Classic Movies, Dramas</t>
  </si>
  <si>
    <t>Director Sergio Leone's sprawling crime epic follows a group of Jewish mobsters who rise in the ranks of organized crime in 1920s New York 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</si>
  <si>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</si>
  <si>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</si>
  <si>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</si>
  <si>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</si>
  <si>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</si>
  <si>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</si>
  <si>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89 min</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</si>
  <si>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</si>
  <si>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</si>
  <si>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</si>
  <si>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</si>
  <si>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</si>
  <si>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</si>
  <si>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</si>
  <si>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</si>
  <si>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</si>
  <si>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</si>
  <si>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</si>
  <si>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</si>
  <si>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</si>
  <si>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</si>
  <si>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</si>
  <si>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</si>
  <si>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</si>
  <si>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</si>
  <si>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</si>
  <si>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112 min</t>
  </si>
  <si>
    <t>Tom Shadyac</t>
  </si>
  <si>
    <t>107 min</t>
  </si>
  <si>
    <t>s182</t>
  </si>
  <si>
    <t>Turning Point: 9/11 and the War on Terror</t>
  </si>
  <si>
    <t>Docuseries</t>
  </si>
  <si>
    <t>This unflinching series documents the 9/11 terrorist attacks, from Al Qaeda's roots in the 1980s to America's response, both at home and abroad.</t>
  </si>
  <si>
    <t>129 min</t>
  </si>
  <si>
    <t>s188</t>
  </si>
  <si>
    <t>The Ingenuity of the Househusband</t>
  </si>
  <si>
    <t>Kenjiro Tsuda</t>
  </si>
  <si>
    <t>International TV Shows, TV Comedies</t>
  </si>
  <si>
    <t>A tough guy with a knack for housework tackles household tasks with meticulous care in these comedic live-action vignettes.</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</si>
  <si>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</si>
  <si>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</si>
  <si>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</si>
  <si>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</si>
  <si>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</si>
  <si>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</si>
  <si>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</si>
  <si>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</si>
  <si>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</si>
  <si>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</si>
  <si>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</si>
  <si>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</si>
  <si>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</si>
  <si>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</si>
  <si>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</si>
  <si>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</si>
  <si>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</si>
  <si>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</si>
  <si>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</si>
  <si>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</si>
  <si>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</si>
  <si>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</si>
  <si>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</si>
  <si>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</si>
  <si>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</si>
  <si>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</si>
  <si>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</si>
  <si>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</si>
  <si>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136 min</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</si>
  <si>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</si>
  <si>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</si>
  <si>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</si>
  <si>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</si>
  <si>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</si>
  <si>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</si>
  <si>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</si>
  <si>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</si>
  <si>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</si>
  <si>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</si>
  <si>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</si>
  <si>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</si>
  <si>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</si>
  <si>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</si>
  <si>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</si>
  <si>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</si>
  <si>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</si>
  <si>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</si>
  <si>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</si>
  <si>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</si>
  <si>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</si>
  <si>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</si>
  <si>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</si>
  <si>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</si>
  <si>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</si>
  <si>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</si>
  <si>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s219</t>
  </si>
  <si>
    <t>Titletown High</t>
  </si>
  <si>
    <t>Reality TV, Teen TV Shows</t>
  </si>
  <si>
    <t>In a Georgia town where football rules and winning is paramount, a high school team tackles romance, rivalries and real life while vying for a title.</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</si>
  <si>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</si>
  <si>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</si>
  <si>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</si>
  <si>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</si>
  <si>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</si>
  <si>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</si>
  <si>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s225</t>
  </si>
  <si>
    <t>Motel Makeover</t>
  </si>
  <si>
    <t>International TV Shows, Reality TV</t>
  </si>
  <si>
    <t>Amid project pitfalls and a pandemic, besties-turned-business partners bring their design magic to a rundown motel and revamp it into a go-to getaway.</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</si>
  <si>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</si>
  <si>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</si>
  <si>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</si>
  <si>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</si>
  <si>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</si>
  <si>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</si>
  <si>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</si>
  <si>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</si>
  <si>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</si>
  <si>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</si>
  <si>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</si>
  <si>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</si>
  <si>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</si>
  <si>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</si>
  <si>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</si>
  <si>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</si>
  <si>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</si>
  <si>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</si>
  <si>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</si>
  <si>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</si>
  <si>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</si>
  <si>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</si>
  <si>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</si>
  <si>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</si>
  <si>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</si>
  <si>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</si>
  <si>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</si>
  <si>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</si>
  <si>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</si>
  <si>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</si>
  <si>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</si>
  <si>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</si>
  <si>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</si>
  <si>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</si>
  <si>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</si>
  <si>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</si>
  <si>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</si>
  <si>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</si>
  <si>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</si>
  <si>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</si>
  <si>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</si>
  <si>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</si>
  <si>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</si>
  <si>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</si>
  <si>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</si>
  <si>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</si>
  <si>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</si>
  <si>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</si>
  <si>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</si>
  <si>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</si>
  <si>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</si>
  <si>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</si>
  <si>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</si>
  <si>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</si>
  <si>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</si>
  <si>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</si>
  <si>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</si>
  <si>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</si>
  <si>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</si>
  <si>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</si>
  <si>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</si>
  <si>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</si>
  <si>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</si>
  <si>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s268</t>
  </si>
  <si>
    <t>The Piano</t>
  </si>
  <si>
    <t>Holly Hunter, Harvey Keitel, Sam Neill, Anna Paquin, Kerry Walker, Genevieve Lemon, Tungia Baker, Ian Mune</t>
  </si>
  <si>
    <t>Classic Movies, Dramas, Independent Movies</t>
  </si>
  <si>
    <t>With her daughter and her beloved piano in tow, a mute Scottish woman arrives in New Zealand, where a gruff loner sets out to seduce her.</t>
  </si>
  <si>
    <t>7 Seasons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</si>
  <si>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</si>
  <si>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</si>
  <si>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</si>
  <si>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</si>
  <si>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</si>
  <si>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</si>
  <si>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</si>
  <si>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</si>
  <si>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</si>
  <si>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</si>
  <si>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</si>
  <si>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</si>
  <si>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</si>
  <si>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</si>
  <si>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</si>
  <si>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</si>
  <si>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</si>
  <si>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</si>
  <si>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</si>
  <si>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</si>
  <si>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</si>
  <si>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</si>
  <si>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59 min</t>
  </si>
  <si>
    <t>Action &amp; Adventure, Anime Features, Children &amp; Family Movies</t>
  </si>
  <si>
    <t>In a world where humans and fearsome monsters live in an uneasy balance, young hunter Aiden fights to save his village from destruction by a dragon.</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</si>
  <si>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</si>
  <si>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</si>
  <si>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</si>
  <si>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</si>
  <si>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</si>
  <si>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</si>
  <si>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</si>
  <si>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</si>
  <si>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</si>
  <si>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</si>
  <si>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</si>
  <si>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</si>
  <si>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s297</t>
  </si>
  <si>
    <t>Hit &amp; Run</t>
  </si>
  <si>
    <t>Lior Raz, Kaelen Ohm, Sanaa Lathan, Moran Rosenblatt, Lior Ashkenazi, Gregg Henry, Gal Toren</t>
  </si>
  <si>
    <t>TV Action &amp; Adventure, TV Dramas, TV Mysteries</t>
  </si>
  <si>
    <t>A man searching for the truth behind his wife's death becomes caught up in a dangerous web of secrets and intrigue stretching from New York to Tel Aviv.</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</si>
  <si>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</si>
  <si>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</si>
  <si>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</si>
  <si>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</si>
  <si>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</si>
  <si>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</si>
  <si>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</si>
  <si>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</si>
  <si>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</si>
  <si>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</si>
  <si>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</si>
  <si>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</si>
  <si>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s306</t>
  </si>
  <si>
    <t>Tango Feroz</t>
  </si>
  <si>
    <t>Marcelo PiÃ±eyro</t>
  </si>
  <si>
    <t>FernÃ¡n MirÃ¡s, Cecilia Dopazo, Imanol Arias, HÃ©ctor Alterio, Leonardo Sbaraglia, Federico D'ElÃ­a, David Masajnik, Cristina Banegas, Ernesto Alterio, Antonio Birabent</t>
  </si>
  <si>
    <t>Classic Movies, Dramas, International Movies</t>
  </si>
  <si>
    <t>One of the first rock stars in Argentina, Tango leads a full life during an era of social unrest â€“ one of both glory and despair.</t>
  </si>
  <si>
    <t>s309</t>
  </si>
  <si>
    <t>American Masters: Inventing David Geffen</t>
  </si>
  <si>
    <t>Susan Lacy</t>
  </si>
  <si>
    <t>David Geffen</t>
  </si>
  <si>
    <t>Movies</t>
  </si>
  <si>
    <t>The son of Jewish immigrants, David Geffen emerged from a humble upbringing to become one of the most powerful media personalities in America.</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</si>
  <si>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</si>
  <si>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</si>
  <si>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</si>
  <si>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</si>
  <si>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</si>
  <si>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</si>
  <si>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</si>
  <si>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</si>
  <si>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</si>
  <si>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</si>
  <si>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</si>
  <si>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</si>
  <si>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</si>
  <si>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</si>
  <si>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</si>
  <si>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</si>
  <si>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</si>
  <si>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</si>
  <si>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</si>
  <si>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</si>
  <si>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</si>
  <si>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</si>
  <si>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</si>
  <si>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</si>
  <si>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</si>
  <si>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</si>
  <si>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</si>
  <si>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</si>
  <si>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</si>
  <si>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</si>
  <si>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</si>
  <si>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</si>
  <si>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</si>
  <si>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</si>
  <si>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</si>
  <si>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</si>
  <si>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</si>
  <si>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</si>
  <si>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</si>
  <si>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Howard Zieff</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</si>
  <si>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</si>
  <si>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</si>
  <si>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</si>
  <si>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</si>
  <si>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</si>
  <si>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</si>
  <si>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</si>
  <si>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</si>
  <si>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</si>
  <si>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</si>
  <si>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</si>
  <si>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</si>
  <si>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</si>
  <si>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</si>
  <si>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</si>
  <si>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</si>
  <si>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</si>
  <si>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</si>
  <si>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</si>
  <si>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</si>
  <si>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</si>
  <si>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</si>
  <si>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</si>
  <si>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</si>
  <si>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</si>
  <si>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s358</t>
  </si>
  <si>
    <t>The Machinist</t>
  </si>
  <si>
    <t>Christian Bale, Jennifer Jason Leigh, Aitana SÃ¡nchez-GijÃ³n, John Sharian, Michael Ironside, Lawrence Gilliard Jr., Reg E. Cathey, Anna Massey, Matthew Romero, Robert Long, Colin Stinton, Craig Stevenson</t>
  </si>
  <si>
    <t>Dramas, Independent Movies, Thrillers</t>
  </si>
  <si>
    <t>Haunted and gaunt after a prolonged bout of insomnia, factory worker Trevor Reznik begins to question his sanity amid a series of mysterious events.</t>
  </si>
  <si>
    <t>s362</t>
  </si>
  <si>
    <t>Charmed</t>
  </si>
  <si>
    <t>Madeleine Mantock, Sarah Jeffery, Melonie Diaz, Rupert Evans, Ser'Darius Blain, Ellen Tamaki, Charlie Gillespie</t>
  </si>
  <si>
    <t>TV Dramas, TV Sci-Fi &amp; Fantasy</t>
  </si>
  <si>
    <t>After their motherâ€™s tragic death, a trio of sisters bond over their newfound powers, vanquish demons and band together to defend their magical legacy.</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</si>
  <si>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</si>
  <si>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</si>
  <si>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</si>
  <si>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</si>
  <si>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</si>
  <si>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</si>
  <si>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s367</t>
  </si>
  <si>
    <t>Glow Up</t>
  </si>
  <si>
    <t>British TV Shows, International TV Shows, Reality TV</t>
  </si>
  <si>
    <t>In this competition show, aspiring makeup artists navigate colorful challenges to win a career-making opportunity in the beauty industry.</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</si>
  <si>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</si>
  <si>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</si>
  <si>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</si>
  <si>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</si>
  <si>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</si>
  <si>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</si>
  <si>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</si>
  <si>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</si>
  <si>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</si>
  <si>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</si>
  <si>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81 min</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</si>
  <si>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</si>
  <si>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</si>
  <si>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</si>
  <si>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</si>
  <si>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</si>
  <si>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</si>
  <si>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s386</t>
  </si>
  <si>
    <t>How to Sell Drugs Online (Fast)</t>
  </si>
  <si>
    <t>Maximilian Mundt, Danilo Kamperidis, Lena Klenke, Damian Hardung, Leonie Wesselow, Luna Schaller, Bjarne MÃ¤del, Roland Riebeling</t>
  </si>
  <si>
    <t>Crime TV Shows, International TV Shows, TV Comedies</t>
  </si>
  <si>
    <t>To win back his ex-girlfriend, a nerdy teen starts selling ecstasy online out of his bedroom â€“ and becomes one of Europe's biggest dealers.</t>
  </si>
  <si>
    <t>132 min</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</si>
  <si>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</si>
  <si>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</si>
  <si>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</si>
  <si>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</si>
  <si>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</si>
  <si>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</si>
  <si>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</si>
  <si>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</si>
  <si>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</si>
  <si>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</si>
  <si>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</si>
  <si>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In the wake of a zombie apocalypse, survivors hold on to the hope of humanity by banding together to wage a fight for their own survival.</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</si>
  <si>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</si>
  <si>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</si>
  <si>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</si>
  <si>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</si>
  <si>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</si>
  <si>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</si>
  <si>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</si>
  <si>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</si>
  <si>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</si>
  <si>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</si>
  <si>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</si>
  <si>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</si>
  <si>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</si>
  <si>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</si>
  <si>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</si>
  <si>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</si>
  <si>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</si>
  <si>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</si>
  <si>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</si>
  <si>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</si>
  <si>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</si>
  <si>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</si>
  <si>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</si>
  <si>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</si>
  <si>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</si>
  <si>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</si>
  <si>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</si>
  <si>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</si>
  <si>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</si>
  <si>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</si>
  <si>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</si>
  <si>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</si>
  <si>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</si>
  <si>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</si>
  <si>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</si>
  <si>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</si>
  <si>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</si>
  <si>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</si>
  <si>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</si>
  <si>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</si>
  <si>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</si>
  <si>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</si>
  <si>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</si>
  <si>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</si>
  <si>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</si>
  <si>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</si>
  <si>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</si>
  <si>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</si>
  <si>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</si>
  <si>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</si>
  <si>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</si>
  <si>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</si>
  <si>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</si>
  <si>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</si>
  <si>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</si>
  <si>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</si>
  <si>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</si>
  <si>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</si>
  <si>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</si>
  <si>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</si>
  <si>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</si>
  <si>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</si>
  <si>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</si>
  <si>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</si>
  <si>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</si>
  <si>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</si>
  <si>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</si>
  <si>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</si>
  <si>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</si>
  <si>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</si>
  <si>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</si>
  <si>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</si>
  <si>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</si>
  <si>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</si>
  <si>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</si>
  <si>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</si>
  <si>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</si>
  <si>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</si>
  <si>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46 min</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</si>
  <si>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</si>
  <si>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</si>
  <si>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</si>
  <si>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</si>
  <si>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</si>
  <si>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</si>
  <si>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</si>
  <si>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</si>
  <si>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</si>
  <si>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</si>
  <si>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</si>
  <si>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</si>
  <si>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</si>
  <si>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</si>
  <si>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</si>
  <si>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</si>
  <si>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</si>
  <si>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</si>
  <si>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</si>
  <si>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</si>
  <si>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</si>
  <si>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Hardik Mehta</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</si>
  <si>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</si>
  <si>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</si>
  <si>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</si>
  <si>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</si>
  <si>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</si>
  <si>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</si>
  <si>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</si>
  <si>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</si>
  <si>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</si>
  <si>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8 Seasons</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</si>
  <si>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</si>
  <si>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</si>
  <si>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</si>
  <si>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</si>
  <si>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</si>
  <si>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</si>
  <si>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</si>
  <si>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</si>
  <si>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</si>
  <si>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</si>
  <si>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</si>
  <si>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</si>
  <si>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</si>
  <si>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</si>
  <si>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</si>
  <si>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</si>
  <si>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</si>
  <si>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</si>
  <si>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Kids' TV, TV Action &amp; Adventure, TV Sci-Fi &amp; Fantasy</t>
  </si>
  <si>
    <t>A valiant girl liberates the Monkey King â€“ a god long trapped in stone â€“ in a quest to find seven sacred scrolls and save the world from evil.</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</si>
  <si>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</si>
  <si>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</si>
  <si>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</si>
  <si>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</si>
  <si>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</si>
  <si>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</si>
  <si>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s556</t>
  </si>
  <si>
    <t>Snowpiercer</t>
  </si>
  <si>
    <t>Bong Joon Ho</t>
  </si>
  <si>
    <t>Chris Evans, Song Kang-ho, Ed Harris, John Hurt, Tilda Swinton, Jamie Bell, Octavia Spencer, Ewen Bremner, Alison Pill, Adnan Haskovic, Vlad Ivanov, Ko A-sung, Luke Pasqualino</t>
  </si>
  <si>
    <t>126 min</t>
  </si>
  <si>
    <t>Action &amp; Adventure, Cult Movies, International Movies</t>
  </si>
  <si>
    <t>The Earth's remaining inhabitants are confined to a single train circling the globe as revolution brews among the class-divided cars.</t>
  </si>
  <si>
    <t>Jay Roach</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</si>
  <si>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</si>
  <si>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</si>
  <si>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</si>
  <si>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</si>
  <si>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</si>
  <si>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s566</t>
  </si>
  <si>
    <t>Bureau of Magical Things</t>
  </si>
  <si>
    <t>Kimie Tsukakoshi, Elizabeth Cullen, Mia Milnes, Julian Cullen, Rainbow Wedell, Jamie Carter, Christopher Sommers</t>
  </si>
  <si>
    <t>International TV Shows, Kids' TV, TV Mysteries</t>
  </si>
  <si>
    <t>When a teen accidentally discovers an enchanted realm, she becomes the only one able to unite the human and magical worlds â€“ and save both from evil.</t>
  </si>
  <si>
    <t>McG</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</si>
  <si>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</si>
  <si>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</si>
  <si>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</si>
  <si>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</si>
  <si>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</si>
  <si>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</si>
  <si>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</si>
  <si>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</si>
  <si>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</si>
  <si>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</si>
  <si>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Dramas, Faith &amp; Spirituality, International Movies</t>
  </si>
  <si>
    <t>A woman with healing powers abandons her village life to become a devout disciple of Jesus, the founder of Christianity.</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</si>
  <si>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</si>
  <si>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</si>
  <si>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</si>
  <si>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</si>
  <si>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</si>
  <si>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</si>
  <si>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Gabriele Muccino</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</si>
  <si>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</si>
  <si>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</si>
  <si>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</si>
  <si>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</si>
  <si>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</si>
  <si>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</si>
  <si>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David Fincher</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</si>
  <si>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</si>
  <si>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</si>
  <si>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</si>
  <si>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</si>
  <si>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</si>
  <si>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</si>
  <si>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</si>
  <si>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</si>
  <si>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</si>
  <si>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</si>
  <si>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</si>
  <si>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</si>
  <si>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</si>
  <si>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</si>
  <si>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</si>
  <si>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</si>
  <si>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</si>
  <si>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s610</t>
  </si>
  <si>
    <t>The Tourist</t>
  </si>
  <si>
    <t>Florian Henckel von Donnersmarck</t>
  </si>
  <si>
    <t>Angelina Jolie, Johnny Depp, Paul Bettany, Timothy Dalton, Steven Berkoff, Rufus Sewell, Christian De Sica, Alessio Boni, Daniele Pecci, Giovanni Guidelli</t>
  </si>
  <si>
    <t>Action &amp; Adventure, Romantic Movies</t>
  </si>
  <si>
    <t>An American tourist seeking solace for his shattered heart instead finds it in danger again after encountering a beautiful Interpol agent.</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</si>
  <si>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</si>
  <si>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</si>
  <si>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</si>
  <si>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</si>
  <si>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</si>
  <si>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</si>
  <si>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</si>
  <si>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</si>
  <si>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</si>
  <si>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</si>
  <si>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</si>
  <si>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</si>
  <si>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Mary Harron</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</si>
  <si>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</si>
  <si>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</si>
  <si>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</si>
  <si>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</si>
  <si>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</si>
  <si>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</si>
  <si>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s649</t>
  </si>
  <si>
    <t>Too Hot to Handle</t>
  </si>
  <si>
    <t>Desiree Burch</t>
  </si>
  <si>
    <t>Reality TV, Romantic TV Shows</t>
  </si>
  <si>
    <t>On the shores of paradise, gorgeous singles meet and mingle. But thereâ€™s a twist. To win a $100,000 grand prize, theyâ€™ll have to give up sex.</t>
  </si>
  <si>
    <t>Cristina Jacob</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</si>
  <si>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</si>
  <si>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</si>
  <si>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</si>
  <si>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</si>
  <si>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</si>
  <si>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</si>
  <si>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</si>
  <si>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</si>
  <si>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</si>
  <si>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</si>
  <si>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</si>
  <si>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</si>
  <si>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</si>
  <si>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</si>
  <si>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</si>
  <si>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Yoshiyuki Tomino, Yoshikazu Yasuhiko</t>
  </si>
  <si>
    <t>Toru Furuya, Shuichi Ikeda, Hirotaka Suzuoki, Rumiko Ukai, Fuyumi Shiraishi, Yo Inoue, Toshio Furukawa, Kiyonobu Suzuki, Keiko Toda, Shozo Iizuka</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</si>
  <si>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</si>
  <si>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</si>
  <si>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</si>
  <si>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</si>
  <si>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</si>
  <si>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</si>
  <si>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</si>
  <si>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</si>
  <si>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</si>
  <si>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</si>
  <si>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</si>
  <si>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</si>
  <si>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</si>
  <si>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</si>
  <si>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</si>
  <si>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</si>
  <si>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</si>
  <si>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</si>
  <si>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</si>
  <si>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</si>
  <si>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</si>
  <si>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s690</t>
  </si>
  <si>
    <t>Mobile Suit Gundam I</t>
  </si>
  <si>
    <t>Action &amp; Adventure, Anime Features, Classic Movies</t>
  </si>
  <si>
    <t>The Earth Federation's last hope in its fight against the Principality of Zeon is the prototype mobile suit Gundam, piloted by civilian Amur Ray.</t>
  </si>
  <si>
    <t>137 min</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</si>
  <si>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</si>
  <si>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</si>
  <si>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</si>
  <si>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</si>
  <si>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</si>
  <si>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Peter Chelsom</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</si>
  <si>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</si>
  <si>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</si>
  <si>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</si>
  <si>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</si>
  <si>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</si>
  <si>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36 min</t>
  </si>
  <si>
    <t>s738</t>
  </si>
  <si>
    <t>Trese</t>
  </si>
  <si>
    <t>Jay Oliva</t>
  </si>
  <si>
    <t>Shay Mitchell, Liza Soberano, Jon Jon Briones, Darren Criss, Manny Jacinto, Dante Basco, Nicole Scherzinger, Lou Diamond Phillips, Steve Blum</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</si>
  <si>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</si>
  <si>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</si>
  <si>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</si>
  <si>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</si>
  <si>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</si>
  <si>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</si>
  <si>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</si>
  <si>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</si>
  <si>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</si>
  <si>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</si>
  <si>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</si>
  <si>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â€” but supernatural shenanigans find their way back to him.</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</si>
  <si>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</si>
  <si>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</si>
  <si>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</si>
  <si>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</si>
  <si>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</si>
  <si>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77 min</t>
  </si>
  <si>
    <t>s756</t>
  </si>
  <si>
    <t>Kitty Love: An Homage to Cats</t>
  </si>
  <si>
    <t>Nicolette Kluijver</t>
  </si>
  <si>
    <t>Children &amp; Family Movies, Documentaries, International Movies</t>
  </si>
  <si>
    <t>Famous feline Abatutu presents this charming celebration of cats, showcasing their finest and friskiest moments with a collection of home videos.</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</si>
  <si>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</si>
  <si>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</si>
  <si>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</si>
  <si>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</si>
  <si>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</si>
  <si>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</si>
  <si>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</si>
  <si>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</si>
  <si>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</si>
  <si>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</si>
  <si>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</si>
  <si>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</si>
  <si>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</si>
  <si>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</si>
  <si>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</si>
  <si>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</si>
  <si>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</si>
  <si>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</si>
  <si>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</si>
  <si>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</si>
  <si>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</si>
  <si>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</si>
  <si>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</si>
  <si>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</si>
  <si>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</si>
  <si>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</si>
  <si>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</si>
  <si>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</si>
  <si>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</si>
  <si>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</si>
  <si>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Don Michael Paul</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</si>
  <si>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</si>
  <si>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</si>
  <si>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</si>
  <si>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</si>
  <si>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</si>
  <si>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</si>
  <si>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</si>
  <si>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</si>
  <si>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</si>
  <si>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</si>
  <si>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</si>
  <si>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</si>
  <si>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</si>
  <si>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</si>
  <si>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</si>
  <si>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</si>
  <si>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</si>
  <si>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</si>
  <si>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</si>
  <si>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</si>
  <si>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</si>
  <si>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</si>
  <si>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</si>
  <si>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</si>
  <si>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</si>
  <si>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</si>
  <si>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</si>
  <si>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</si>
  <si>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</si>
  <si>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</si>
  <si>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</si>
  <si>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</si>
  <si>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</si>
  <si>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</si>
  <si>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</si>
  <si>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</si>
  <si>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s841</t>
  </si>
  <si>
    <t>Baggio: The Divine Ponytail</t>
  </si>
  <si>
    <t>Letizia Lamartire</t>
  </si>
  <si>
    <t>Andrea Arcangeli, Valentina BellÃ¨,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</si>
  <si>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</si>
  <si>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</si>
  <si>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</si>
  <si>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</si>
  <si>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</si>
  <si>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</si>
  <si>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</si>
  <si>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</si>
  <si>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</si>
  <si>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</si>
  <si>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</si>
  <si>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</si>
  <si>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</si>
  <si>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s873</t>
  </si>
  <si>
    <t>Sleight</t>
  </si>
  <si>
    <t>J.D. Dillard</t>
  </si>
  <si>
    <t>Jacob Latimore, Seychelle Gabriel, Sasheer Zamata, Storm Reid, Cameron Esposito, DulÃ© Hill, Michael Villar, Brandon Johnson, Donzaleigh Abernathy, Jay Walker</t>
  </si>
  <si>
    <t>Dramas, Independent Movies, Sci-Fi &amp; Fantasy</t>
  </si>
  <si>
    <t>Struggling to raise his little sister on his own, a young street magician turns to drug dealing, unaware of how ruthless his supplier can be.</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</si>
  <si>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</si>
  <si>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</si>
  <si>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</si>
  <si>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</si>
  <si>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</si>
  <si>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</si>
  <si>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s881</t>
  </si>
  <si>
    <t>Haunted</t>
  </si>
  <si>
    <t>Reality TV, TV Horror, TV Thrillers</t>
  </si>
  <si>
    <t>Real people sit down with friends and family to share terrifying true stories from their past, re-created through chilling re-enactments.</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</si>
  <si>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</si>
  <si>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</si>
  <si>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</si>
  <si>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</si>
  <si>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</si>
  <si>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</si>
  <si>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</si>
  <si>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</si>
  <si>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</si>
  <si>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</si>
  <si>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</si>
  <si>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32 min</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</si>
  <si>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</si>
  <si>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</si>
  <si>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</si>
  <si>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</si>
  <si>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</si>
  <si>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</si>
  <si>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Alexandre Aja</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</si>
  <si>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</si>
  <si>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</si>
  <si>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</si>
  <si>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</si>
  <si>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</si>
  <si>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</si>
  <si>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</si>
  <si>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</si>
  <si>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</si>
  <si>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</si>
  <si>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</si>
  <si>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</si>
  <si>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Sean McNamara</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</si>
  <si>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</si>
  <si>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</si>
  <si>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</si>
  <si>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</si>
  <si>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</si>
  <si>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</si>
  <si>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s951</t>
  </si>
  <si>
    <t>The Lovely Bones</t>
  </si>
  <si>
    <t>Peter Jackson</t>
  </si>
  <si>
    <t>Mark Wahlberg, Rachel Weisz, Susan Sarandon, Stanley Tucci, Michael Imperioli, Saoirse Ronan, Rose McIver, Christian Thomas Ashdale, Reece Ritchie, Carolyn Dando</t>
  </si>
  <si>
    <t>Dramas, International Movies, Sci-Fi &amp; Fantasy</t>
  </si>
  <si>
    <t>In the aftermath of her murder, 14-year-old Susie watches from beyond as her loved ones mourn and search for her killer who is hiding in plain sight.</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</si>
  <si>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</si>
  <si>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</si>
  <si>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</si>
  <si>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</si>
  <si>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</si>
  <si>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</si>
  <si>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s1028</t>
  </si>
  <si>
    <t>Crimson Peak</t>
  </si>
  <si>
    <t>Guillermo del Toro</t>
  </si>
  <si>
    <t>Mia Wasikowska, Jessica Chastain, Tom Hiddleston, Charlie Hunnam, Jim Beaver, Burn Gorman, Leslie Hope, Doug Jones, Jonathan Hyde, Bruce Gray</t>
  </si>
  <si>
    <t>Horror Movies, Romantic Movies, Sci-Fi &amp; Fantasy</t>
  </si>
  <si>
    <t>After marrying a mysterious British aristocrat, a young heiress moves into his crumbling, creepy ancestral home and finds it conceals sinister secrets.</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</si>
  <si>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</si>
  <si>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</si>
  <si>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</si>
  <si>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</si>
  <si>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</si>
  <si>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</si>
  <si>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</si>
  <si>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</si>
  <si>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</si>
  <si>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</si>
  <si>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</si>
  <si>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75 min</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</si>
  <si>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</si>
  <si>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</si>
  <si>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</si>
  <si>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</si>
  <si>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</si>
  <si>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</si>
  <si>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</si>
  <si>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</si>
  <si>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</si>
  <si>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</si>
  <si>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</si>
  <si>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</si>
  <si>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</si>
  <si>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</si>
  <si>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</si>
  <si>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</si>
  <si>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</si>
  <si>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</si>
  <si>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</si>
  <si>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</si>
  <si>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</si>
  <si>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Park Hoon-jung</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</si>
  <si>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</si>
  <si>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</si>
  <si>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</si>
  <si>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</si>
  <si>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</si>
  <si>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</si>
  <si>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</si>
  <si>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</si>
  <si>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</si>
  <si>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158 min</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</si>
  <si>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</si>
  <si>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</si>
  <si>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</si>
  <si>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</si>
  <si>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</si>
  <si>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</si>
  <si>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</si>
  <si>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</si>
  <si>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</si>
  <si>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</si>
  <si>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</si>
  <si>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</si>
  <si>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</si>
  <si>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</si>
  <si>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</si>
  <si>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</si>
  <si>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</si>
  <si>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</si>
  <si>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181 min</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</si>
  <si>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</si>
  <si>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</si>
  <si>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</si>
  <si>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</si>
  <si>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</si>
  <si>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â€” and unexpectedly finds love, friends and a place to belong.</t>
  </si>
  <si>
    <t>Antonio DÃ­az</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</si>
  <si>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</si>
  <si>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</si>
  <si>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</si>
  <si>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</si>
  <si>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</si>
  <si>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</si>
  <si>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</si>
  <si>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</si>
  <si>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</si>
  <si>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</si>
  <si>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</si>
  <si>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</si>
  <si>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</si>
  <si>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</si>
  <si>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</si>
  <si>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</si>
  <si>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</si>
  <si>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</si>
  <si>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</si>
  <si>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</si>
  <si>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</si>
  <si>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</si>
  <si>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</si>
  <si>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</si>
  <si>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</si>
  <si>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</si>
  <si>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</si>
  <si>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</si>
  <si>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</si>
  <si>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</si>
  <si>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</si>
  <si>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</si>
  <si>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</si>
  <si>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</si>
  <si>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</si>
  <si>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</si>
  <si>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</si>
  <si>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</si>
  <si>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</si>
  <si>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</si>
  <si>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</si>
  <si>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</si>
  <si>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</si>
  <si>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</si>
  <si>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134 min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</si>
  <si>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</si>
  <si>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</si>
  <si>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</si>
  <si>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</si>
  <si>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</si>
  <si>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s1291</t>
  </si>
  <si>
    <t>I Care a Lot</t>
  </si>
  <si>
    <t>J Blakeson</t>
  </si>
  <si>
    <t>Rosamund Pike, Peter Dinklage, Eiza GonzÃ¡lez,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</si>
  <si>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</si>
  <si>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</si>
  <si>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s1303</t>
  </si>
  <si>
    <t>MeatEater</t>
  </si>
  <si>
    <t>Steven Rinella</t>
  </si>
  <si>
    <t>Docuseries, Reality TV, Science &amp; Nature TV</t>
  </si>
  <si>
    <t>Steven Rinella scrounges in some of America's wildest terrains in this unscripted series showing him on the hunt for wild animals from ducks to deer.</t>
  </si>
  <si>
    <t>Bear Grylls</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</si>
  <si>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</si>
  <si>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</si>
  <si>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</si>
  <si>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</si>
  <si>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</si>
  <si>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</si>
  <si>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</si>
  <si>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</si>
  <si>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</si>
  <si>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</si>
  <si>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</si>
  <si>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</si>
  <si>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</si>
  <si>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</si>
  <si>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</si>
  <si>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Martin Scorsese</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</si>
  <si>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</si>
  <si>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</si>
  <si>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</si>
  <si>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</si>
  <si>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</si>
  <si>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</si>
  <si>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</si>
  <si>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</si>
  <si>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</si>
  <si>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</si>
  <si>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</si>
  <si>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</si>
  <si>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</si>
  <si>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</si>
  <si>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</si>
  <si>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</si>
  <si>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s1387</t>
  </si>
  <si>
    <t>So My Grandmaâ€™s a Lesbian!</t>
  </si>
  <si>
    <t>Ãngeles ReinÃ©</t>
  </si>
  <si>
    <t>Rosa MarÃ­a SardÃ , VerÃ³nica ForquÃ©, Ingrid GarcÃ­a Jonsson, David Verdaguer, Candela PeÃ±a, MÃ³nica LÃ³pez, Pol Monen, Alex O'Dogherty, Leander Vyvey, Liz Lobato</t>
  </si>
  <si>
    <t>Comedies, International Movies, LGBTQ Movies</t>
  </si>
  <si>
    <t>Two women in their 70s decide to come out to their families and get married, sparking chaos â€” and threatening a granddaughter's engagement.</t>
  </si>
  <si>
    <t>s1398</t>
  </si>
  <si>
    <t>A Monster Calls</t>
  </si>
  <si>
    <t>J.A. Bayona</t>
  </si>
  <si>
    <t>Lewis MacDougall, Sigourney Weaver, Felicity Jones, Liam Neeson, Toby Kebbell, Ben Moor, James Melville, Oliver Steer, Dominic Boyle, Geraldine Chaplin, Jennifer Lim</t>
  </si>
  <si>
    <t>Dramas, Sci-Fi &amp; Fantasy</t>
  </si>
  <si>
    <t>Overwhelmed by his motherâ€™s illness, a young boy begins to understand human complexity through the fantastic tales of a consoling tree monster.</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</si>
  <si>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</si>
  <si>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</si>
  <si>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</si>
  <si>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</si>
  <si>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</si>
  <si>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</si>
  <si>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</si>
  <si>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</si>
  <si>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</si>
  <si>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</si>
  <si>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</si>
  <si>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</si>
  <si>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</si>
  <si>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</si>
  <si>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</si>
  <si>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</si>
  <si>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</si>
  <si>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</si>
  <si>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</si>
  <si>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</si>
  <si>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</si>
  <si>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</si>
  <si>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s1440</t>
  </si>
  <si>
    <t>History of Swear Words</t>
  </si>
  <si>
    <t>Nicolas Cage</t>
  </si>
  <si>
    <t>Docuseries, TV Comedies</t>
  </si>
  <si>
    <t>Nicolas Cage hosts this proudly profane, funny and engagingly educational series about the history and impact of the most notorious English swear words.</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</si>
  <si>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</si>
  <si>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</si>
  <si>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</si>
  <si>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</si>
  <si>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</si>
  <si>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</si>
  <si>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</si>
  <si>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</si>
  <si>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</si>
  <si>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</si>
  <si>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</si>
  <si>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</si>
  <si>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</si>
  <si>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</si>
  <si>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</si>
  <si>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</si>
  <si>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</si>
  <si>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</si>
  <si>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</si>
  <si>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</si>
  <si>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</si>
  <si>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</si>
  <si>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</si>
  <si>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</si>
  <si>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</si>
  <si>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</si>
  <si>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</si>
  <si>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53 min</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</si>
  <si>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</si>
  <si>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</si>
  <si>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</si>
  <si>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</si>
  <si>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</si>
  <si>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</si>
  <si>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</si>
  <si>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</si>
  <si>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</si>
  <si>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</si>
  <si>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</si>
  <si>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</si>
  <si>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</si>
  <si>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</si>
  <si>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</si>
  <si>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</si>
  <si>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</si>
  <si>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</si>
  <si>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</si>
  <si>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</si>
  <si>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International TV Shows, TV Mysteries, TV Thrillers</t>
  </si>
  <si>
    <t>Haunted by visions after her sister vanished with her classmates 21 years before, Astrid begins an investigation that uncovers the dark, eerie truth.</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</si>
  <si>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</si>
  <si>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</si>
  <si>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</si>
  <si>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</si>
  <si>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</si>
  <si>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</si>
  <si>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</si>
  <si>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</si>
  <si>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</si>
  <si>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</si>
  <si>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</si>
  <si>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</si>
  <si>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</si>
  <si>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</si>
  <si>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</si>
  <si>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</si>
  <si>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</si>
  <si>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</si>
  <si>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s1507</t>
  </si>
  <si>
    <t>Shaun the Sheep</t>
  </si>
  <si>
    <t>John Sparkes, Justin Fletcher, Kate Harbour, Richard Webber, Jo Allen</t>
  </si>
  <si>
    <t>British TV Shows, Kids' TV, TV Comedies</t>
  </si>
  <si>
    <t>Join freewheeling Shaun for barnyard misadventures with his cousin Timmy, giant sheepdog Bitzer, jealous cat Pidsley and fellow sheep Shirley.</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</si>
  <si>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</si>
  <si>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</si>
  <si>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</si>
  <si>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</si>
  <si>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</si>
  <si>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50 min</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</si>
  <si>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</si>
  <si>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</si>
  <si>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</si>
  <si>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</si>
  <si>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</si>
  <si>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</si>
  <si>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Shaun Paul Piccinino</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</si>
  <si>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</si>
  <si>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</si>
  <si>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</si>
  <si>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</si>
  <si>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</si>
  <si>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</si>
  <si>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</si>
  <si>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</si>
  <si>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</si>
  <si>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</si>
  <si>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</si>
  <si>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</si>
  <si>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</si>
  <si>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</si>
  <si>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</si>
  <si>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</si>
  <si>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</si>
  <si>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</si>
  <si>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</si>
  <si>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</si>
  <si>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</si>
  <si>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</si>
  <si>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</si>
  <si>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</si>
  <si>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</si>
  <si>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</si>
  <si>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</si>
  <si>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</si>
  <si>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</si>
  <si>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</si>
  <si>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</si>
  <si>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</si>
  <si>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</si>
  <si>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</si>
  <si>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</si>
  <si>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</si>
  <si>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</si>
  <si>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</si>
  <si>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</si>
  <si>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</si>
  <si>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</si>
  <si>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</si>
  <si>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</si>
  <si>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</si>
  <si>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</si>
  <si>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</si>
  <si>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</si>
  <si>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</si>
  <si>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</si>
  <si>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Stephen Chiodo</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</si>
  <si>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</si>
  <si>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</si>
  <si>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</si>
  <si>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</si>
  <si>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</si>
  <si>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</si>
  <si>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</si>
  <si>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</si>
  <si>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</si>
  <si>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</si>
  <si>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</si>
  <si>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</si>
  <si>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</si>
  <si>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</si>
  <si>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</si>
  <si>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</si>
  <si>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</si>
  <si>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</si>
  <si>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</si>
  <si>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</si>
  <si>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</si>
  <si>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</si>
  <si>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</si>
  <si>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</si>
  <si>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</si>
  <si>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</si>
  <si>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</si>
  <si>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</si>
  <si>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</si>
  <si>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</si>
  <si>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</si>
  <si>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</si>
  <si>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</si>
  <si>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</si>
  <si>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</si>
  <si>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</si>
  <si>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</si>
  <si>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</si>
  <si>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</si>
  <si>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s1787</t>
  </si>
  <si>
    <t>La Gran IlusiÃ³n</t>
  </si>
  <si>
    <t>International Movies</t>
  </si>
  <si>
    <t>Known as "El Mago Pop," illusionist Antonio DÃ­az shocks and awes celebrities and bystanders around the world with his mind-blowing performances.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</si>
  <si>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</si>
  <si>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</si>
  <si>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</si>
  <si>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</si>
  <si>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</si>
  <si>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</si>
  <si>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</si>
  <si>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</si>
  <si>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</si>
  <si>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</si>
  <si>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</si>
  <si>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</si>
  <si>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</si>
  <si>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</si>
  <si>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</si>
  <si>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</si>
  <si>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</si>
  <si>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</si>
  <si>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</si>
  <si>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</si>
  <si>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</si>
  <si>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</si>
  <si>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</si>
  <si>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</si>
  <si>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</si>
  <si>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</si>
  <si>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</si>
  <si>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</si>
  <si>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44 min</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</si>
  <si>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</si>
  <si>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</si>
  <si>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</si>
  <si>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</si>
  <si>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</si>
  <si>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</si>
  <si>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</si>
  <si>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</si>
  <si>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</si>
  <si>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</si>
  <si>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146 min</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</si>
  <si>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</si>
  <si>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</si>
  <si>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</si>
  <si>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</si>
  <si>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</si>
  <si>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</si>
  <si>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s2043</t>
  </si>
  <si>
    <t>Cleverman</t>
  </si>
  <si>
    <t>Hunter Page-Lochard, Rob Collins, Deborah Mailman, Ryan Corr, Stef Dawson, Iain Glen, Frances O'Connor, Tasma Walton, Tony Briggs</t>
  </si>
  <si>
    <t>TV Dramas, TV Sci-Fi &amp; Fantasy, TV Thrillers</t>
  </si>
  <si>
    <t>In the near future, physically powerful beings known as "Hairies" struggle to survive in a segregated society dominated by hostile humans.</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</si>
  <si>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</si>
  <si>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</si>
  <si>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</si>
  <si>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</si>
  <si>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</si>
  <si>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</si>
  <si>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</si>
  <si>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</si>
  <si>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</si>
  <si>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</si>
  <si>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</si>
  <si>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</si>
  <si>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</si>
  <si>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</si>
  <si>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</si>
  <si>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</si>
  <si>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</si>
  <si>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</si>
  <si>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</si>
  <si>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</si>
  <si>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</si>
  <si>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</si>
  <si>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s2102</t>
  </si>
  <si>
    <t>Baewatch: Parental Guidance</t>
  </si>
  <si>
    <t>British TV Shows, Reality TV, Romantic TV Shows</t>
  </si>
  <si>
    <t>Couples go on a romantic getaway to test their relationships, not knowing their families are calling the shots and cringing over their every move.</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</si>
  <si>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</si>
  <si>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</si>
  <si>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</si>
  <si>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</si>
  <si>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</si>
  <si>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</si>
  <si>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</si>
  <si>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</si>
  <si>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</si>
  <si>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</si>
  <si>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</si>
  <si>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</si>
  <si>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</si>
  <si>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</si>
  <si>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</si>
  <si>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</si>
  <si>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s2191</t>
  </si>
  <si>
    <t>The Umbrella Academy</t>
  </si>
  <si>
    <t>TV Action &amp; Adventure, TV Mysteries, TV Sci-Fi &amp; Fantasy</t>
  </si>
  <si>
    <t>Reunited by their father's death, estranged siblings with extraordinary powers uncover shocking family secrets â€“ and a looming threat to humanity.</t>
  </si>
  <si>
    <t>30 min</t>
  </si>
  <si>
    <t>s2238</t>
  </si>
  <si>
    <t>Skin Decision: Before and After</t>
  </si>
  <si>
    <t>Reality TV, Science &amp; Nature TV</t>
  </si>
  <si>
    <t>Skin and beauty expert Nurse Jamie and plastic surgeon Dr. Sheila Nazarian use the latest procedures to bring out their clients' best selves.</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</si>
  <si>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</si>
  <si>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</si>
  <si>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</si>
  <si>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</si>
  <si>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</si>
  <si>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</si>
  <si>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</si>
  <si>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</si>
  <si>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</si>
  <si>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</si>
  <si>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Paul Verhoeven</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</si>
  <si>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</si>
  <si>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</si>
  <si>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</si>
  <si>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</si>
  <si>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</si>
  <si>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</si>
  <si>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</si>
  <si>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</si>
  <si>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</si>
  <si>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</si>
  <si>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</si>
  <si>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</si>
  <si>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</si>
  <si>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</si>
  <si>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</si>
  <si>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</si>
  <si>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</si>
  <si>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</si>
  <si>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</si>
  <si>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</si>
  <si>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</si>
  <si>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</si>
  <si>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</si>
  <si>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</si>
  <si>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</si>
  <si>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</si>
  <si>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</si>
  <si>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</si>
  <si>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</si>
  <si>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</si>
  <si>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</si>
  <si>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</si>
  <si>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</si>
  <si>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s2416</t>
  </si>
  <si>
    <t>Queen of the South</t>
  </si>
  <si>
    <t>Alice Braga, Veronica FalcÃ³n, Justina Machado, Peter Gadiot, Hemky Madera, Gerardo Taracena</t>
  </si>
  <si>
    <t>Crime TV Shows, TV Action &amp; Adventure, TV Dramas</t>
  </si>
  <si>
    <t>Forced to work for a cartel that recently killed her boyfriend, Teresa relies on her street smarts, a loyal pal and a mysterious notebook to survive.</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</si>
  <si>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</si>
  <si>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</si>
  <si>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</si>
  <si>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</si>
  <si>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</si>
  <si>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</si>
  <si>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</si>
  <si>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</si>
  <si>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</si>
  <si>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</si>
  <si>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</si>
  <si>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</si>
  <si>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</si>
  <si>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</si>
  <si>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</si>
  <si>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</si>
  <si>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</si>
  <si>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</si>
  <si>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</si>
  <si>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</si>
  <si>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</si>
  <si>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</si>
  <si>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</si>
  <si>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</si>
  <si>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</si>
  <si>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</si>
  <si>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</si>
  <si>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</si>
  <si>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</si>
  <si>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</si>
  <si>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</si>
  <si>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</si>
  <si>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</si>
  <si>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</si>
  <si>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</si>
  <si>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</si>
  <si>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</si>
  <si>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</si>
  <si>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</si>
  <si>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</si>
  <si>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</si>
  <si>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</si>
  <si>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</si>
  <si>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</si>
  <si>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</si>
  <si>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</si>
  <si>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</si>
  <si>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</si>
  <si>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parentsâ€™ constant squabbling, a young man travels back in time to the onset of their romance, with plans to set them up for marital bliss.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</si>
  <si>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</si>
  <si>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</si>
  <si>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</si>
  <si>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</si>
  <si>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</si>
  <si>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</si>
  <si>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</si>
  <si>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</si>
  <si>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</si>
  <si>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</si>
  <si>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</si>
  <si>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</si>
  <si>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</si>
  <si>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</si>
  <si>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</si>
  <si>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</si>
  <si>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</si>
  <si>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</si>
  <si>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</si>
  <si>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</si>
  <si>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</si>
  <si>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</si>
  <si>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</si>
  <si>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</si>
  <si>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</si>
  <si>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</si>
  <si>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</si>
  <si>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</si>
  <si>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</si>
  <si>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</si>
  <si>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</si>
  <si>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</si>
  <si>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</si>
  <si>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s2652</t>
  </si>
  <si>
    <t>Absurd Planet</t>
  </si>
  <si>
    <t>Afi Ekulona</t>
  </si>
  <si>
    <t>Docuseries, Science &amp; Nature TV, TV Comedies</t>
  </si>
  <si>
    <t>A cast of quirky critters and Mother Nature herself narrate this funny science series, which peeks into the lives of Earthâ€™s most incredible animals.</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</si>
  <si>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</si>
  <si>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</si>
  <si>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</si>
  <si>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</si>
  <si>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</si>
  <si>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</si>
  <si>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</si>
  <si>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</si>
  <si>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</si>
  <si>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</si>
  <si>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</si>
  <si>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</si>
  <si>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</si>
  <si>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</si>
  <si>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</si>
  <si>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</si>
  <si>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</si>
  <si>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</si>
  <si>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</si>
  <si>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</si>
  <si>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</si>
  <si>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</si>
  <si>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</si>
  <si>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</si>
  <si>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</si>
  <si>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</si>
  <si>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</si>
  <si>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</si>
  <si>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</si>
  <si>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</si>
  <si>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</si>
  <si>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</si>
  <si>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</si>
  <si>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</si>
  <si>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</si>
  <si>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</si>
  <si>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</si>
  <si>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</si>
  <si>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</si>
  <si>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</si>
  <si>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</si>
  <si>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172 min</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</si>
  <si>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</si>
  <si>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</si>
  <si>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</si>
  <si>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</si>
  <si>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</si>
  <si>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</si>
  <si>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</si>
  <si>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</si>
  <si>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</si>
  <si>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</si>
  <si>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</si>
  <si>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</si>
  <si>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</si>
  <si>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</si>
  <si>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</si>
  <si>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</si>
  <si>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</si>
  <si>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s2799</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</si>
  <si>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</si>
  <si>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</si>
  <si>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</si>
  <si>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</si>
  <si>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</si>
  <si>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</si>
  <si>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</si>
  <si>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</si>
  <si>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</si>
  <si>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</si>
  <si>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</si>
  <si>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</si>
  <si>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</si>
  <si>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</si>
  <si>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</si>
  <si>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</si>
  <si>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</si>
  <si>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</si>
  <si>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</si>
  <si>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</si>
  <si>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</si>
  <si>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</si>
  <si>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</si>
  <si>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</si>
  <si>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</si>
  <si>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</si>
  <si>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</si>
  <si>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</si>
  <si>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</si>
  <si>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</si>
  <si>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</si>
  <si>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Kids' TV, TV Action &amp; Adventure</t>
  </si>
  <si>
    <t>When Paris is in peril, Marinette becomes Ladybug. Little does she know, her school crush Adrien is actually Cat Noir, another city-saving superhero.</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</si>
  <si>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</si>
  <si>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</si>
  <si>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</si>
  <si>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</si>
  <si>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</si>
  <si>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</si>
  <si>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56 min</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</si>
  <si>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</si>
  <si>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</si>
  <si>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</si>
  <si>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</si>
  <si>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</si>
  <si>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s3043</t>
  </si>
  <si>
    <t>Cheer</t>
  </si>
  <si>
    <t>Docuseries, Reality TV, Teen TV Shows</t>
  </si>
  <si>
    <t>This gripping docuseries follows the ups and downs of Navarro College's competitive cheer squad as they work to win a coveted national title.</t>
  </si>
  <si>
    <t>s3054</t>
  </si>
  <si>
    <t>Border Security: America's Front Line</t>
  </si>
  <si>
    <t>Crime TV Shows, International TV Shows, Reality TV</t>
  </si>
  <si>
    <t>This reality series chronicles the behind-the-scenes action as U.S. Customs and Border Protection agents safeguard the nation's crossings and ports.</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</si>
  <si>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</si>
  <si>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</si>
  <si>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</si>
  <si>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</si>
  <si>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</si>
  <si>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</si>
  <si>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</si>
  <si>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</si>
  <si>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</si>
  <si>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</si>
  <si>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</si>
  <si>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</si>
  <si>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</si>
  <si>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</si>
  <si>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</si>
  <si>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</si>
  <si>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</si>
  <si>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</si>
  <si>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</si>
  <si>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</si>
  <si>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</si>
  <si>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</si>
  <si>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Navaniat Singh</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</si>
  <si>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</si>
  <si>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</si>
  <si>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</si>
  <si>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</si>
  <si>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</si>
  <si>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</si>
  <si>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</si>
  <si>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</si>
  <si>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</si>
  <si>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</si>
  <si>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</si>
  <si>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</si>
  <si>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</si>
  <si>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</si>
  <si>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</si>
  <si>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</si>
  <si>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</si>
  <si>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</si>
  <si>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</si>
  <si>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</si>
  <si>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</si>
  <si>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</si>
  <si>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</si>
  <si>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</si>
  <si>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</si>
  <si>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</si>
  <si>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</si>
  <si>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40 min</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</si>
  <si>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</si>
  <si>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</si>
  <si>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</si>
  <si>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</si>
  <si>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</si>
  <si>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</si>
  <si>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</si>
  <si>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</si>
  <si>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</si>
  <si>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</si>
  <si>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</si>
  <si>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s3383</t>
  </si>
  <si>
    <t>Daybreak</t>
  </si>
  <si>
    <t>Colin Ford, Alyvia Alyn Lind, Sophie Simnett, Austin Crute, Cody Kearsley, JeantÃ© Godlock, Gregory Kasyan, Krysta Rodriguez, Matthew Broderick</t>
  </si>
  <si>
    <t>TV Action &amp; Adventure, TV Comedies, TV Horror</t>
  </si>
  <si>
    <t>Living his best life in post-apocalyptic LA, a slacker strives to find the girl of his dreams while outwitting mindless ghouls and cliquish gangs.</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</si>
  <si>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</si>
  <si>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</si>
  <si>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</si>
  <si>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</si>
  <si>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</si>
  <si>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</si>
  <si>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s3445</t>
  </si>
  <si>
    <t>Legend Quest: Masters of Myth</t>
  </si>
  <si>
    <t>Johnny Rose, Annemarie Blanco, Paul Tei, Oscar Cheda, Chuck Morgan, Jenna Lamia, James Carrey</t>
  </si>
  <si>
    <t>Kids' TV, Spanish-Language TV Shows</t>
  </si>
  <si>
    <t>When mythical creatures come to life, it's up to Leo, Teodora, Don AndrÃ©s and Alebrije â€“ super-secret monster hunters â€“ to save the day.</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</si>
  <si>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</si>
  <si>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</si>
  <si>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</si>
  <si>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</si>
  <si>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</si>
  <si>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</si>
  <si>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</si>
  <si>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</si>
  <si>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</si>
  <si>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</si>
  <si>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s3458</t>
  </si>
  <si>
    <t>Seis Manos</t>
  </si>
  <si>
    <t>Aislinn Derbez, Mike Colter, Jonny Cruz, AngÃ©lica Vale, Vic Chao, Danny Trejo</t>
  </si>
  <si>
    <t>Anime Series, Crime TV Shows</t>
  </si>
  <si>
    <t>Orphans raised by a martial arts master are plunged into a mystery involving demonic powers, drug cartels, ancient rituals and blood sacrifice.</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</si>
  <si>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</si>
  <si>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</si>
  <si>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</si>
  <si>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</si>
  <si>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</si>
  <si>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</si>
  <si>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</si>
  <si>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</si>
  <si>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</si>
  <si>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</si>
  <si>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</si>
  <si>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</si>
  <si>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</si>
  <si>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</si>
  <si>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</si>
  <si>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</si>
  <si>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</si>
  <si>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Sujoy Ghosh</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</si>
  <si>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</si>
  <si>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</si>
  <si>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</si>
  <si>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</si>
  <si>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</si>
  <si>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</si>
  <si>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</si>
  <si>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</si>
  <si>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</si>
  <si>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</si>
  <si>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</si>
  <si>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</si>
  <si>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</si>
  <si>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</si>
  <si>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</si>
  <si>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</si>
  <si>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s3705</t>
  </si>
  <si>
    <t>Exhibit A</t>
  </si>
  <si>
    <t>Crime TV Shows, Docuseries, Science &amp; Nature TV</t>
  </si>
  <si>
    <t>This true crime series shows how innocent people have been convicted with dubious forensic techniques and tools such as touch DNA and cadaver dogs.</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</si>
  <si>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</si>
  <si>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</si>
  <si>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</si>
  <si>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</si>
  <si>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</si>
  <si>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</si>
  <si>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</si>
  <si>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</si>
  <si>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</si>
  <si>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</si>
  <si>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</si>
  <si>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</si>
  <si>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</si>
  <si>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</si>
  <si>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</si>
  <si>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</si>
  <si>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</si>
  <si>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</si>
  <si>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</si>
  <si>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</si>
  <si>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</si>
  <si>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</si>
  <si>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</si>
  <si>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</si>
  <si>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</si>
  <si>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</si>
  <si>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</si>
  <si>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</si>
  <si>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</si>
  <si>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</si>
  <si>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</si>
  <si>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</si>
  <si>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</si>
  <si>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</si>
  <si>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</si>
  <si>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</si>
  <si>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</si>
  <si>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</si>
  <si>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</si>
  <si>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</si>
  <si>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</si>
  <si>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</si>
  <si>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</si>
  <si>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</si>
  <si>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</si>
  <si>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</si>
  <si>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</si>
  <si>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</si>
  <si>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</si>
  <si>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s3932</t>
  </si>
  <si>
    <t>You vs. Wild</t>
  </si>
  <si>
    <t>Kids' TV, Reality TV, Science &amp; Nature TV</t>
  </si>
  <si>
    <t>In this interactive series, you'll make key decisions to help Bear Grylls survive, thrive and complete missions in the harshest environments on Earth.</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</si>
  <si>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</si>
  <si>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</si>
  <si>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</si>
  <si>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</si>
  <si>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</si>
  <si>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</si>
  <si>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</si>
  <si>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</si>
  <si>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</si>
  <si>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</si>
  <si>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</si>
  <si>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</si>
  <si>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</si>
  <si>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</si>
  <si>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</si>
  <si>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</si>
  <si>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</si>
  <si>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</si>
  <si>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</si>
  <si>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</si>
  <si>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</si>
  <si>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</si>
  <si>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</si>
  <si>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</si>
  <si>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</si>
  <si>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</si>
  <si>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</si>
  <si>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</si>
  <si>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</si>
  <si>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</si>
  <si>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</si>
  <si>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</si>
  <si>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</si>
  <si>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</si>
  <si>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</si>
  <si>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</si>
  <si>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</si>
  <si>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</si>
  <si>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</si>
  <si>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</si>
  <si>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</si>
  <si>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</si>
  <si>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</si>
  <si>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</si>
  <si>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</si>
  <si>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</si>
  <si>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</si>
  <si>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</si>
  <si>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</si>
  <si>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</si>
  <si>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</si>
  <si>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</si>
  <si>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s4410</t>
  </si>
  <si>
    <t>Transfers</t>
  </si>
  <si>
    <t>Arieh Worthalter, Brune Renault, Toinette Laquiere, Steve Tientcheu, Pili Groyne, Patrick Descamps, Patrick Raynal, Juliette Plumecocq-Mech, SÃ©bastien Chassagne, Alexis Loret, Aissatou Diop</t>
  </si>
  <si>
    <t>Crime TV Shows, International TV Shows, TV Sci-Fi &amp; Fantasy</t>
  </si>
  <si>
    <t>After a boating accident, woodworker and family man Florian wakes up in the body of an officer who leads a task force against illegal body transfers.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</si>
  <si>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</si>
  <si>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</si>
  <si>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</si>
  <si>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</si>
  <si>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</si>
  <si>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</si>
  <si>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</si>
  <si>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</si>
  <si>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</si>
  <si>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</si>
  <si>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</si>
  <si>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</si>
  <si>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</si>
  <si>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</si>
  <si>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</si>
  <si>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</si>
  <si>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</si>
  <si>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</si>
  <si>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</si>
  <si>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</si>
  <si>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</si>
  <si>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</si>
  <si>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</si>
  <si>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</si>
  <si>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</si>
  <si>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</si>
  <si>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</si>
  <si>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</si>
  <si>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</si>
  <si>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</si>
  <si>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</si>
  <si>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</si>
  <si>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Will Yapp</t>
  </si>
  <si>
    <t>Graham Chapman, Eric Idle, Terry Jones, Michael Palin, Terry Gilliam, John Cleese</t>
  </si>
  <si>
    <t>s4546</t>
  </si>
  <si>
    <t>Monty Python: Before the Flying Circus</t>
  </si>
  <si>
    <t>Comedies, Documentaries</t>
  </si>
  <si>
    <t>Discover how six seemingly ordinary but supremely talented men became Monty Python, sketch comedy's revolutionary comedy troupe.</t>
  </si>
  <si>
    <t>s4628</t>
  </si>
  <si>
    <t>Battlefish</t>
  </si>
  <si>
    <t>Reality TV, Science &amp; Nature TV, TV Action &amp; Adventure</t>
  </si>
  <si>
    <t>Over the course of a fishing season, tough men and women pursue lucrative albacore tuna in the competitive waters off the Oregon coast.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</si>
  <si>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</si>
  <si>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</si>
  <si>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</si>
  <si>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</si>
  <si>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</si>
  <si>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</si>
  <si>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</si>
  <si>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</si>
  <si>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</si>
  <si>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</si>
  <si>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</si>
  <si>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</si>
  <si>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</si>
  <si>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</si>
  <si>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</si>
  <si>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</si>
  <si>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</si>
  <si>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</si>
  <si>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</si>
  <si>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</si>
  <si>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</si>
  <si>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</si>
  <si>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</si>
  <si>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</si>
  <si>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</si>
  <si>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</si>
  <si>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</si>
  <si>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</si>
  <si>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</si>
  <si>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</si>
  <si>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</si>
  <si>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</si>
  <si>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</si>
  <si>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</si>
  <si>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</si>
  <si>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</si>
  <si>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</si>
  <si>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</si>
  <si>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</si>
  <si>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</si>
  <si>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</si>
  <si>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</si>
  <si>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</si>
  <si>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</si>
  <si>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</si>
  <si>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</si>
  <si>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</si>
  <si>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</si>
  <si>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</si>
  <si>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s5059</t>
  </si>
  <si>
    <t>Holy Camp!</t>
  </si>
  <si>
    <t>Javier Ambrossi, Javier Calvo</t>
  </si>
  <si>
    <t>Macarena GarcÃ­a, Anna Castillo, BelÃ©n Cuesta, Gracia Olayo, Richard Collins-Moore, Llum Barrera, Secun de la Rosa, MarÃ­a Isabel DÃ­az, VÃ­ctor ElÃ­as, Henry MÃ©ndez, Esti Quesada</t>
  </si>
  <si>
    <t>Comedies, Dramas, Faith &amp; Spirituality</t>
  </si>
  <si>
    <t>In this musical comedy, two rebellious teen girls who love electronic music have a life-changing brush with the divine at a camp run by nuns.</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</si>
  <si>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</si>
  <si>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</si>
  <si>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</si>
  <si>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</si>
  <si>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</si>
  <si>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</si>
  <si>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</si>
  <si>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</si>
  <si>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</si>
  <si>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</si>
  <si>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</si>
  <si>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</si>
  <si>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</si>
  <si>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</si>
  <si>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</si>
  <si>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</si>
  <si>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</si>
  <si>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</si>
  <si>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</si>
  <si>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</si>
  <si>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</si>
  <si>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</si>
  <si>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</si>
  <si>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</si>
  <si>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</si>
  <si>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</si>
  <si>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</si>
  <si>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</si>
  <si>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</si>
  <si>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</si>
  <si>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</si>
  <si>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</si>
  <si>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</si>
  <si>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</si>
  <si>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</si>
  <si>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</si>
  <si>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</si>
  <si>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</si>
  <si>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</si>
  <si>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Jonathan Demme</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</si>
  <si>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</si>
  <si>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</si>
  <si>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</si>
  <si>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</si>
  <si>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</si>
  <si>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s5824</t>
  </si>
  <si>
    <t>Edge of the Universe</t>
  </si>
  <si>
    <t>British TV Shows, Docuseries, Science &amp; Nature TV</t>
  </si>
  <si>
    <t>Leading astronomers reveal the latest discoveries about death-trap planets, asteroids, comets and other wonders of the cosmos.</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</si>
  <si>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</si>
  <si>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</si>
  <si>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</si>
  <si>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</si>
  <si>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</si>
  <si>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</si>
  <si>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Frank Coraci</t>
  </si>
  <si>
    <t>s5968</t>
  </si>
  <si>
    <t>'89</t>
  </si>
  <si>
    <t>Lee Dixon, Ian Wright, Paul Merson</t>
  </si>
  <si>
    <t>Sports Movies</t>
  </si>
  <si>
    <t>Mixing old footage with interviews, this is the story of Arsenal's improbable win versus Liverpool in the final moments of the 1989 championship game.</t>
  </si>
  <si>
    <t>NR</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</si>
  <si>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</si>
  <si>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</si>
  <si>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</si>
  <si>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</si>
  <si>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</si>
  <si>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</si>
  <si>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</si>
  <si>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</si>
  <si>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</si>
  <si>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</si>
  <si>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</si>
  <si>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</si>
  <si>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</si>
  <si>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</si>
  <si>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</si>
  <si>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</si>
  <si>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</si>
  <si>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</si>
  <si>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</si>
  <si>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</si>
  <si>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</si>
  <si>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</si>
  <si>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</si>
  <si>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</si>
  <si>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</si>
  <si>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</si>
  <si>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</si>
  <si>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</si>
  <si>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</si>
  <si>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</si>
  <si>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</si>
  <si>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</si>
  <si>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</si>
  <si>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</si>
  <si>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</si>
  <si>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</si>
  <si>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</si>
  <si>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</si>
  <si>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</si>
  <si>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</si>
  <si>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</si>
  <si>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</si>
  <si>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</si>
  <si>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</si>
  <si>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</si>
  <si>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</si>
  <si>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</si>
  <si>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</si>
  <si>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</si>
  <si>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</si>
  <si>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</si>
  <si>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</si>
  <si>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s6167</t>
  </si>
  <si>
    <t>Anjaan: Rural Myths</t>
  </si>
  <si>
    <t>International TV Shows, TV Horror, TV Thrillers</t>
  </si>
  <si>
    <t>Spine-chilling stories of malevolent spirits unfold in villages, jungles and haunted buildings across India.</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</si>
  <si>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</si>
  <si>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</si>
  <si>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</si>
  <si>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</si>
  <si>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</si>
  <si>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</si>
  <si>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</si>
  <si>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</si>
  <si>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</si>
  <si>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</si>
  <si>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s6254</t>
  </si>
  <si>
    <t>Battlefield Recovery</t>
  </si>
  <si>
    <t>British TV Shows, Docuseries, Reality TV</t>
  </si>
  <si>
    <t>A four-man team heads to Latvia and Poland to unearth rare World War II artifacts and shed new light on the bloody battles of the Eastern Front.</t>
  </si>
  <si>
    <t>Hrishikesh Mukherjee</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</si>
  <si>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</si>
  <si>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</si>
  <si>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</si>
  <si>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</si>
  <si>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</si>
  <si>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</si>
  <si>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</si>
  <si>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</si>
  <si>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</si>
  <si>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</si>
  <si>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</si>
  <si>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</si>
  <si>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</si>
  <si>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</si>
  <si>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</si>
  <si>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</si>
  <si>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</si>
  <si>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</si>
  <si>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</si>
  <si>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</si>
  <si>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</si>
  <si>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</si>
  <si>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</si>
  <si>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</si>
  <si>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</si>
  <si>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</si>
  <si>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</si>
  <si>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</si>
  <si>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</si>
  <si>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</si>
  <si>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</si>
  <si>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</si>
  <si>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</si>
  <si>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</si>
  <si>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</si>
  <si>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</si>
  <si>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</si>
  <si>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</si>
  <si>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</si>
  <si>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</si>
  <si>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</si>
  <si>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</si>
  <si>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</si>
  <si>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</si>
  <si>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</si>
  <si>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s6502</t>
  </si>
  <si>
    <t>Cloud Atlas</t>
  </si>
  <si>
    <t>Lilly Wachowski, Lana Wachowski, Tom Tykwer</t>
  </si>
  <si>
    <t>Tom Hanks, Halle Berry, Jim Broadbent, Hugo Weaving, Jim Sturgess, Doona Bae, Ben Whishaw, Keith David, James D'Arcy, Zhou Xun</t>
  </si>
  <si>
    <t>Action &amp; Adventure, Cult Movies, Dramas</t>
  </si>
  <si>
    <t>In this star-studded drama, six seemingly disparate stories explore the complicated links that humanity shares through the generations.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</si>
  <si>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</si>
  <si>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</si>
  <si>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</si>
  <si>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</si>
  <si>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</si>
  <si>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</si>
  <si>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s6550</t>
  </si>
  <si>
    <t>Dad's Army</t>
  </si>
  <si>
    <t>Arthur Lowe, John Le Mesurier, Clive Dunn, John Laurie, Arnold Ridley, Ian Lavender, James Beck, Bill Pertwee</t>
  </si>
  <si>
    <t>British TV Shows, Classic &amp; Cult TV, TV Comedies</t>
  </si>
  <si>
    <t>This beloved sitcom follows the unlikely heroes of the volunteer British Home Guard as they prepare for German invasion in World War II.</t>
  </si>
  <si>
    <t>TV-Y7-FV</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</si>
  <si>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</si>
  <si>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</si>
  <si>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</si>
  <si>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</si>
  <si>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</si>
  <si>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</si>
  <si>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</si>
  <si>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</si>
  <si>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</si>
  <si>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</si>
  <si>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</si>
  <si>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</si>
  <si>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</si>
  <si>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</si>
  <si>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</si>
  <si>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</si>
  <si>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s6677</t>
  </si>
  <si>
    <t>El Clon</t>
  </si>
  <si>
    <t>Mauricio Ochmann, Sandra EcheverrÃ­a, SaÃºl Lisazo, Roberto Moll, Geraldine Zivic, Andrea LÃ³pez, Juan Pablo Raba, Daniel Lugo</t>
  </si>
  <si>
    <t>Romantic TV Shows, Spanish-Language TV Shows, TV Dramas</t>
  </si>
  <si>
    <t>Religion thwarted Lucas and Jade's young love. They reunite decades later, but Jade's heart is torn between the man she knew and his younger clone.</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</si>
  <si>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</si>
  <si>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</si>
  <si>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</si>
  <si>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</si>
  <si>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</si>
  <si>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</si>
  <si>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</si>
  <si>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</si>
  <si>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</si>
  <si>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</si>
  <si>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</si>
  <si>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</si>
  <si>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</si>
  <si>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</si>
  <si>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</si>
  <si>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</si>
  <si>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</si>
  <si>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</si>
  <si>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</si>
  <si>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</si>
  <si>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</si>
  <si>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</si>
  <si>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</si>
  <si>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</si>
  <si>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</si>
  <si>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</si>
  <si>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</si>
  <si>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</si>
  <si>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</si>
  <si>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s6823</t>
  </si>
  <si>
    <t>Galavant</t>
  </si>
  <si>
    <t>Joshua Sasse, Timothy Omundson, Vinnie Jones, Mallory Jansen, Karen David, Luke Youngblood</t>
  </si>
  <si>
    <t>TV Action &amp; Adventure, TV Comedies</t>
  </si>
  <si>
    <t>In a time of legend, Galavant the knight embarks on a quest to save his fair lady and become a hero in this tongue-in-cheek musical comedy.</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</si>
  <si>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</si>
  <si>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</si>
  <si>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</si>
  <si>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</si>
  <si>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</si>
  <si>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</si>
  <si>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</si>
  <si>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</si>
  <si>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</si>
  <si>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</si>
  <si>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</si>
  <si>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</si>
  <si>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s6939</t>
  </si>
  <si>
    <t>Haunters: The Art of the Scare</t>
  </si>
  <si>
    <t>Jon Schnitzer</t>
  </si>
  <si>
    <t>Documentaries, Horror Movies</t>
  </si>
  <si>
    <t>This documentary takes us into the world of those who create horror simulations for willing audiences, and examines the culture they have spawned.</t>
  </si>
  <si>
    <t>s6942</t>
  </si>
  <si>
    <t>Haven</t>
  </si>
  <si>
    <t>Emily Rose, Lucas Bryant, Nicholas Campbell, Eric Balfour, Richard Donat, John Dunsworth, Maurice Dean Wint, Adam Copeland</t>
  </si>
  <si>
    <t>Classic &amp; Cult TV, TV Horror, TV Mysteries</t>
  </si>
  <si>
    <t>Residents of Haven, Maine, are plagued by supernatural afflictions. To reveal the truth, FBI agent Audrey Parker must delve into her own strange past.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</si>
  <si>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</si>
  <si>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</si>
  <si>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</si>
  <si>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</si>
  <si>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</si>
  <si>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</si>
  <si>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</si>
  <si>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</si>
  <si>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</si>
  <si>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</si>
  <si>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</si>
  <si>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</si>
  <si>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</si>
  <si>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</si>
  <si>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</si>
  <si>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</si>
  <si>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</si>
  <si>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</si>
  <si>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</si>
  <si>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</si>
  <si>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</si>
  <si>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</si>
  <si>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</si>
  <si>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</si>
  <si>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</si>
  <si>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</si>
  <si>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</si>
  <si>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</si>
  <si>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</si>
  <si>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</si>
  <si>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</si>
  <si>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</si>
  <si>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</si>
  <si>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</si>
  <si>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</si>
  <si>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</si>
  <si>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</si>
  <si>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</si>
  <si>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</si>
  <si>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</si>
  <si>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s7291</t>
  </si>
  <si>
    <t>LEGO Ninjago: Masters of Spinjitzu: Day of the Departed</t>
  </si>
  <si>
    <t>Action &amp; Adventure, Children &amp; Family Movies</t>
  </si>
  <si>
    <t>Cole finds himself trapped in Yang's temple after accidentally releasing a host of villainous spirits that the Ninja must defeat.</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</si>
  <si>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</si>
  <si>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</si>
  <si>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</si>
  <si>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</si>
  <si>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</si>
  <si>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</si>
  <si>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</si>
  <si>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</si>
  <si>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</si>
  <si>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</si>
  <si>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</si>
  <si>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</si>
  <si>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</si>
  <si>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</si>
  <si>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</si>
  <si>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</si>
  <si>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</si>
  <si>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</si>
  <si>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</si>
  <si>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</si>
  <si>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</si>
  <si>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</si>
  <si>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</si>
  <si>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</si>
  <si>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</si>
  <si>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</si>
  <si>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</si>
  <si>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</si>
  <si>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</si>
  <si>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</si>
  <si>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</si>
  <si>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</si>
  <si>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Cult Movies, Independent Movies, Thrillers</t>
  </si>
  <si>
    <t>When a cop kills the brother of an expat American gangster who runs a Bangkok fight club, his crime-boss mother flies in to supervise revenge.</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</si>
  <si>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</si>
  <si>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</si>
  <si>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</si>
  <si>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</si>
  <si>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</si>
  <si>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s7709</t>
  </si>
  <si>
    <t>Paris Is Burning</t>
  </si>
  <si>
    <t>Jennie Livingston</t>
  </si>
  <si>
    <t>Classic Movies, Cult Movies, Documentaries</t>
  </si>
  <si>
    <t>This Sundance prize-winning documentary is an intimate portrait of 1980s Harlem drag balls: a world of fierce competition, sustenance, and survival.</t>
  </si>
  <si>
    <t>s7722</t>
  </si>
  <si>
    <t>Pee-wee's Playhouse</t>
  </si>
  <si>
    <t>Paul Reubens</t>
  </si>
  <si>
    <t>Classic &amp; Cult TV, Kids' TV, TV Comedies</t>
  </si>
  <si>
    <t>Pee-wee Herman brings his stage show to the masses with this innovative live-action kids series that invites viewers into his quirky, childlike world.</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</si>
  <si>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</si>
  <si>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</si>
  <si>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</si>
  <si>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</si>
  <si>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</si>
  <si>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</si>
  <si>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</si>
  <si>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</si>
  <si>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</si>
  <si>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</si>
  <si>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</si>
  <si>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</si>
  <si>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</si>
  <si>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</si>
  <si>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</si>
  <si>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</si>
  <si>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s7889</t>
  </si>
  <si>
    <t>Romeo Ranjha</t>
  </si>
  <si>
    <t>Jazzy B, Garry Sandhu, Monica Bedi, Parul Gulati, Rana Ranbir, Yograj Singh, Rana Jung Bahadur, Sanga Jagir</t>
  </si>
  <si>
    <t>Action &amp; Adventure, Comedies, Music &amp; Musicals</t>
  </si>
  <si>
    <t>Two common boys travel from India to Thailand to find success and money, enjoying their friendship and finding ways to cheat the cheats.</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</si>
  <si>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</si>
  <si>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</si>
  <si>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</si>
  <si>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</si>
  <si>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</si>
  <si>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</si>
  <si>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</si>
  <si>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</si>
  <si>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</si>
  <si>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</si>
  <si>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</si>
  <si>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</si>
  <si>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</si>
  <si>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</si>
  <si>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</si>
  <si>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</si>
  <si>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</si>
  <si>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</si>
  <si>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</si>
  <si>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</si>
  <si>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</si>
  <si>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</si>
  <si>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</si>
  <si>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</si>
  <si>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</si>
  <si>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</si>
  <si>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</si>
  <si>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</si>
  <si>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</si>
  <si>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</si>
  <si>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</si>
  <si>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</si>
  <si>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</si>
  <si>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</si>
  <si>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Neil Jordan</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</si>
  <si>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</si>
  <si>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</si>
  <si>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</si>
  <si>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</si>
  <si>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</si>
  <si>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</si>
  <si>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</si>
  <si>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</si>
  <si>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</si>
  <si>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</si>
  <si>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</si>
  <si>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</si>
  <si>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</si>
  <si>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</si>
  <si>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</si>
  <si>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</si>
  <si>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</si>
  <si>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</si>
  <si>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</si>
  <si>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</si>
  <si>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</si>
  <si>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</si>
  <si>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</si>
  <si>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</si>
  <si>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</si>
  <si>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</si>
  <si>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</si>
  <si>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</si>
  <si>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</si>
  <si>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</si>
  <si>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</si>
  <si>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</si>
  <si>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</si>
  <si>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</si>
  <si>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</si>
  <si>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</si>
  <si>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</si>
  <si>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</si>
  <si>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</si>
  <si>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</si>
  <si>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</si>
  <si>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</si>
  <si>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</si>
  <si>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</si>
  <si>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</si>
  <si>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</si>
  <si>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</si>
  <si>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</si>
  <si>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</si>
  <si>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</si>
  <si>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</si>
  <si>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</si>
  <si>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</si>
  <si>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</si>
  <si>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</si>
  <si>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</si>
  <si>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</si>
  <si>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</si>
  <si>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</si>
  <si>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</si>
  <si>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</si>
  <si>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</si>
  <si>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</si>
  <si>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</si>
  <si>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</si>
  <si>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</si>
  <si>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</si>
  <si>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</si>
  <si>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</si>
  <si>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</si>
  <si>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</si>
  <si>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</si>
  <si>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unknown</t>
  </si>
  <si>
    <t>trim_title</t>
  </si>
  <si>
    <t>trim_director</t>
  </si>
  <si>
    <t>trim_country</t>
  </si>
  <si>
    <t>trim_date</t>
  </si>
  <si>
    <t>tr</t>
  </si>
  <si>
    <t>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</si>
</sst>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24009]m/d/yyyy;@"/>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4" fontId="0" fillId="0" borderId="0" xfId="0" applyNumberFormat="1"/>
    <xf numFmtId="165"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10F514-6EA2-4554-9040-1A55B07C293B}">
  <dimension ref="A1:L515"/>
  <sheetViews>
    <sheetView tabSelected="1" zoomScale="85" zoomScaleNormal="85" workbookViewId="0">
      <pane ySplit="1" topLeftCell="A498" activePane="bottomLeft" state="frozen"/>
      <selection pane="bottomLeft" activeCell="AA1" sqref="AA1:AD1"/>
    </sheetView>
  </sheetViews>
  <sheetFormatPr defaultRowHeight="14.4" x14ac:dyDescent="0.3"/>
  <sheetData>
    <row r="1" spans="1:12" x14ac:dyDescent="0.3">
      <c r="A1" t="s">
        <v>0</v>
      </c>
      <c r="B1" t="s">
        <v>1</v>
      </c>
      <c r="C1" t="s">
        <v>2</v>
      </c>
      <c r="D1" t="s">
        <v>3</v>
      </c>
      <c r="E1" t="s">
        <v>4</v>
      </c>
      <c r="F1" t="s">
        <v>5</v>
      </c>
      <c r="G1" s="1" t="s">
        <v>6</v>
      </c>
      <c r="H1" t="s">
        <v>7</v>
      </c>
      <c r="I1" t="s">
        <v>8</v>
      </c>
      <c r="J1" t="s">
        <v>9</v>
      </c>
      <c r="K1" t="s">
        <v>10</v>
      </c>
      <c r="L1" t="s">
        <v>11</v>
      </c>
    </row>
    <row r="2" spans="1:12" x14ac:dyDescent="0.3">
      <c r="A2" t="s">
        <v>12</v>
      </c>
      <c r="B2" t="s">
        <v>13</v>
      </c>
      <c r="C2" t="s">
        <v>14</v>
      </c>
      <c r="D2" t="s">
        <v>15</v>
      </c>
      <c r="E2" t="s">
        <v>2963</v>
      </c>
      <c r="F2" t="s">
        <v>16</v>
      </c>
      <c r="G2" s="2">
        <v>44440</v>
      </c>
      <c r="H2">
        <v>2020</v>
      </c>
      <c r="I2" t="s">
        <v>17</v>
      </c>
      <c r="J2" t="s">
        <v>18</v>
      </c>
      <c r="K2" t="s">
        <v>19</v>
      </c>
      <c r="L2" t="s">
        <v>20</v>
      </c>
    </row>
    <row r="3" spans="1:12" x14ac:dyDescent="0.3">
      <c r="A3" t="s">
        <v>21</v>
      </c>
      <c r="B3" t="s">
        <v>22</v>
      </c>
      <c r="C3" t="s">
        <v>23</v>
      </c>
      <c r="D3" t="s">
        <v>2963</v>
      </c>
      <c r="E3" t="s">
        <v>24</v>
      </c>
      <c r="F3" t="s">
        <v>25</v>
      </c>
      <c r="G3" s="2">
        <v>44441</v>
      </c>
      <c r="H3">
        <v>2021</v>
      </c>
      <c r="I3" t="s">
        <v>26</v>
      </c>
      <c r="J3" t="s">
        <v>27</v>
      </c>
      <c r="K3" t="s">
        <v>28</v>
      </c>
      <c r="L3" t="s">
        <v>29</v>
      </c>
    </row>
    <row r="4" spans="1:12" x14ac:dyDescent="0.3">
      <c r="A4" t="s">
        <v>30</v>
      </c>
      <c r="B4" t="s">
        <v>22</v>
      </c>
      <c r="C4" t="s">
        <v>31</v>
      </c>
      <c r="D4" t="s">
        <v>32</v>
      </c>
      <c r="E4" t="s">
        <v>33</v>
      </c>
      <c r="F4" t="s">
        <v>2963</v>
      </c>
      <c r="G4" s="2">
        <v>44442</v>
      </c>
      <c r="H4">
        <v>2021</v>
      </c>
      <c r="I4" t="s">
        <v>26</v>
      </c>
      <c r="J4" t="s">
        <v>34</v>
      </c>
      <c r="K4" t="s">
        <v>35</v>
      </c>
      <c r="L4" t="s">
        <v>36</v>
      </c>
    </row>
    <row r="5" spans="1:12" x14ac:dyDescent="0.3">
      <c r="A5" t="s">
        <v>37</v>
      </c>
      <c r="B5" t="s">
        <v>22</v>
      </c>
      <c r="C5" t="s">
        <v>38</v>
      </c>
      <c r="D5" t="s">
        <v>2963</v>
      </c>
      <c r="E5" t="s">
        <v>2963</v>
      </c>
      <c r="F5" t="s">
        <v>2963</v>
      </c>
      <c r="G5" s="2">
        <v>44443</v>
      </c>
      <c r="H5">
        <v>2021</v>
      </c>
      <c r="I5" t="s">
        <v>26</v>
      </c>
      <c r="J5" t="s">
        <v>34</v>
      </c>
      <c r="K5" t="s">
        <v>39</v>
      </c>
      <c r="L5" t="s">
        <v>40</v>
      </c>
    </row>
    <row r="6" spans="1:12" x14ac:dyDescent="0.3">
      <c r="A6" t="s">
        <v>41</v>
      </c>
      <c r="B6" t="s">
        <v>22</v>
      </c>
      <c r="C6" t="s">
        <v>42</v>
      </c>
      <c r="D6" t="s">
        <v>2963</v>
      </c>
      <c r="E6" t="s">
        <v>43</v>
      </c>
      <c r="F6" t="s">
        <v>44</v>
      </c>
      <c r="G6" s="2">
        <v>44444</v>
      </c>
      <c r="H6">
        <v>2021</v>
      </c>
      <c r="I6" t="s">
        <v>26</v>
      </c>
      <c r="J6" t="s">
        <v>27</v>
      </c>
      <c r="K6" t="s">
        <v>45</v>
      </c>
      <c r="L6" t="s">
        <v>46</v>
      </c>
    </row>
    <row r="7" spans="1:12" x14ac:dyDescent="0.3">
      <c r="A7" t="s">
        <v>47</v>
      </c>
      <c r="B7" t="s">
        <v>22</v>
      </c>
      <c r="C7" t="s">
        <v>48</v>
      </c>
      <c r="D7" t="s">
        <v>49</v>
      </c>
      <c r="E7" t="s">
        <v>50</v>
      </c>
      <c r="F7" t="s">
        <v>2963</v>
      </c>
      <c r="G7" s="2">
        <v>44445</v>
      </c>
      <c r="H7">
        <v>2021</v>
      </c>
      <c r="I7" t="s">
        <v>26</v>
      </c>
      <c r="J7" t="s">
        <v>34</v>
      </c>
      <c r="K7" t="s">
        <v>51</v>
      </c>
      <c r="L7" t="s">
        <v>52</v>
      </c>
    </row>
    <row r="8" spans="1:12" x14ac:dyDescent="0.3">
      <c r="A8" t="s">
        <v>53</v>
      </c>
      <c r="B8" t="s">
        <v>13</v>
      </c>
      <c r="C8" t="s">
        <v>54</v>
      </c>
      <c r="D8" t="s">
        <v>55</v>
      </c>
      <c r="E8" t="s">
        <v>56</v>
      </c>
      <c r="F8" t="s">
        <v>2963</v>
      </c>
      <c r="G8" s="2">
        <v>44446</v>
      </c>
      <c r="H8">
        <v>2021</v>
      </c>
      <c r="I8" t="s">
        <v>57</v>
      </c>
      <c r="J8" t="s">
        <v>58</v>
      </c>
      <c r="K8" t="s">
        <v>59</v>
      </c>
      <c r="L8" t="s">
        <v>60</v>
      </c>
    </row>
    <row r="9" spans="1:12" x14ac:dyDescent="0.3">
      <c r="A9" t="s">
        <v>61</v>
      </c>
      <c r="B9" t="s">
        <v>13</v>
      </c>
      <c r="C9" t="s">
        <v>62</v>
      </c>
      <c r="D9" t="s">
        <v>63</v>
      </c>
      <c r="E9" t="s">
        <v>64</v>
      </c>
      <c r="F9" t="s">
        <v>65</v>
      </c>
      <c r="G9" s="2">
        <v>44447</v>
      </c>
      <c r="H9">
        <v>1993</v>
      </c>
      <c r="I9" t="s">
        <v>26</v>
      </c>
      <c r="J9" t="s">
        <v>66</v>
      </c>
      <c r="K9" t="s">
        <v>67</v>
      </c>
      <c r="L9" t="s">
        <v>68</v>
      </c>
    </row>
    <row r="10" spans="1:12" x14ac:dyDescent="0.3">
      <c r="A10" t="s">
        <v>69</v>
      </c>
      <c r="B10" t="s">
        <v>22</v>
      </c>
      <c r="C10" t="s">
        <v>70</v>
      </c>
      <c r="D10" t="s">
        <v>71</v>
      </c>
      <c r="E10" t="s">
        <v>72</v>
      </c>
      <c r="F10" t="s">
        <v>73</v>
      </c>
      <c r="G10" s="2">
        <v>44448</v>
      </c>
      <c r="H10">
        <v>2021</v>
      </c>
      <c r="I10" t="s">
        <v>74</v>
      </c>
      <c r="J10" t="s">
        <v>75</v>
      </c>
      <c r="K10" t="s">
        <v>76</v>
      </c>
      <c r="L10" t="s">
        <v>77</v>
      </c>
    </row>
    <row r="11" spans="1:12" x14ac:dyDescent="0.3">
      <c r="A11" t="s">
        <v>78</v>
      </c>
      <c r="B11" t="s">
        <v>13</v>
      </c>
      <c r="C11" t="s">
        <v>79</v>
      </c>
      <c r="D11" t="s">
        <v>80</v>
      </c>
      <c r="E11" t="s">
        <v>81</v>
      </c>
      <c r="F11" t="s">
        <v>16</v>
      </c>
      <c r="G11" s="2">
        <v>44449</v>
      </c>
      <c r="H11">
        <v>2021</v>
      </c>
      <c r="I11" t="s">
        <v>17</v>
      </c>
      <c r="J11" t="s">
        <v>82</v>
      </c>
      <c r="K11" t="s">
        <v>83</v>
      </c>
      <c r="L11" t="s">
        <v>84</v>
      </c>
    </row>
    <row r="12" spans="1:12" x14ac:dyDescent="0.3">
      <c r="A12" t="s">
        <v>85</v>
      </c>
      <c r="B12" t="s">
        <v>22</v>
      </c>
      <c r="C12" t="s">
        <v>86</v>
      </c>
      <c r="D12" t="s">
        <v>2963</v>
      </c>
      <c r="E12" t="s">
        <v>2963</v>
      </c>
      <c r="F12" t="s">
        <v>16</v>
      </c>
      <c r="G12" s="2">
        <v>44450</v>
      </c>
      <c r="H12">
        <v>2021</v>
      </c>
      <c r="I12" t="s">
        <v>26</v>
      </c>
      <c r="J12" t="s">
        <v>34</v>
      </c>
      <c r="K12" t="s">
        <v>87</v>
      </c>
      <c r="L12" t="s">
        <v>88</v>
      </c>
    </row>
    <row r="13" spans="1:12" x14ac:dyDescent="0.3">
      <c r="A13" t="s">
        <v>89</v>
      </c>
      <c r="B13" t="s">
        <v>13</v>
      </c>
      <c r="C13" t="s">
        <v>90</v>
      </c>
      <c r="D13" t="s">
        <v>91</v>
      </c>
      <c r="E13" t="s">
        <v>92</v>
      </c>
      <c r="F13" t="s">
        <v>16</v>
      </c>
      <c r="G13" s="2">
        <v>44451</v>
      </c>
      <c r="H13">
        <v>2021</v>
      </c>
      <c r="I13" t="s">
        <v>26</v>
      </c>
      <c r="J13" t="s">
        <v>93</v>
      </c>
      <c r="K13" t="s">
        <v>94</v>
      </c>
      <c r="L13" t="s">
        <v>95</v>
      </c>
    </row>
    <row r="14" spans="1:12" x14ac:dyDescent="0.3">
      <c r="A14" t="s">
        <v>96</v>
      </c>
      <c r="B14" t="s">
        <v>13</v>
      </c>
      <c r="C14" t="s">
        <v>97</v>
      </c>
      <c r="D14" t="s">
        <v>98</v>
      </c>
      <c r="E14" t="s">
        <v>99</v>
      </c>
      <c r="F14" t="s">
        <v>16</v>
      </c>
      <c r="G14" s="2">
        <v>44452</v>
      </c>
      <c r="H14">
        <v>2021</v>
      </c>
      <c r="I14" t="s">
        <v>100</v>
      </c>
      <c r="J14" t="s">
        <v>58</v>
      </c>
      <c r="K14" t="s">
        <v>101</v>
      </c>
      <c r="L14" t="s">
        <v>102</v>
      </c>
    </row>
    <row r="15" spans="1:12" x14ac:dyDescent="0.3">
      <c r="A15" t="s">
        <v>103</v>
      </c>
      <c r="B15" t="s">
        <v>22</v>
      </c>
      <c r="C15" t="s">
        <v>104</v>
      </c>
      <c r="D15" t="s">
        <v>2963</v>
      </c>
      <c r="E15" t="s">
        <v>2963</v>
      </c>
      <c r="F15" t="s">
        <v>16</v>
      </c>
      <c r="G15" s="2">
        <v>44453</v>
      </c>
      <c r="H15">
        <v>2021</v>
      </c>
      <c r="I15" t="s">
        <v>26</v>
      </c>
      <c r="J15" t="s">
        <v>34</v>
      </c>
      <c r="K15" t="s">
        <v>105</v>
      </c>
      <c r="L15" t="s">
        <v>106</v>
      </c>
    </row>
    <row r="16" spans="1:12" x14ac:dyDescent="0.3">
      <c r="A16" t="s">
        <v>107</v>
      </c>
      <c r="B16" t="s">
        <v>22</v>
      </c>
      <c r="C16" t="s">
        <v>108</v>
      </c>
      <c r="D16" t="s">
        <v>2963</v>
      </c>
      <c r="E16" t="s">
        <v>109</v>
      </c>
      <c r="F16" t="s">
        <v>16</v>
      </c>
      <c r="G16" s="2">
        <v>44454</v>
      </c>
      <c r="H16">
        <v>2021</v>
      </c>
      <c r="I16" t="s">
        <v>26</v>
      </c>
      <c r="J16" t="s">
        <v>110</v>
      </c>
      <c r="K16" t="s">
        <v>111</v>
      </c>
      <c r="L16" t="s">
        <v>112</v>
      </c>
    </row>
    <row r="17" spans="1:12" x14ac:dyDescent="0.3">
      <c r="A17" t="s">
        <v>113</v>
      </c>
      <c r="B17" t="s">
        <v>13</v>
      </c>
      <c r="C17" t="s">
        <v>114</v>
      </c>
      <c r="D17" t="s">
        <v>115</v>
      </c>
      <c r="E17" t="s">
        <v>2963</v>
      </c>
      <c r="F17" t="s">
        <v>16</v>
      </c>
      <c r="G17" s="2">
        <v>44455</v>
      </c>
      <c r="H17">
        <v>2020</v>
      </c>
      <c r="I17" t="s">
        <v>26</v>
      </c>
      <c r="J17" t="s">
        <v>116</v>
      </c>
      <c r="K17" t="s">
        <v>117</v>
      </c>
      <c r="L17" t="s">
        <v>118</v>
      </c>
    </row>
    <row r="18" spans="1:12" x14ac:dyDescent="0.3">
      <c r="A18" t="s">
        <v>119</v>
      </c>
      <c r="B18" t="s">
        <v>22</v>
      </c>
      <c r="C18" t="s">
        <v>120</v>
      </c>
      <c r="D18" t="s">
        <v>2963</v>
      </c>
      <c r="E18" t="s">
        <v>121</v>
      </c>
      <c r="F18" t="s">
        <v>16</v>
      </c>
      <c r="G18" s="2">
        <v>44456</v>
      </c>
      <c r="H18">
        <v>2020</v>
      </c>
      <c r="I18" t="s">
        <v>26</v>
      </c>
      <c r="J18" t="s">
        <v>27</v>
      </c>
      <c r="K18" t="s">
        <v>122</v>
      </c>
      <c r="L18" t="s">
        <v>123</v>
      </c>
    </row>
    <row r="19" spans="1:12" x14ac:dyDescent="0.3">
      <c r="A19" t="s">
        <v>124</v>
      </c>
      <c r="B19" t="s">
        <v>13</v>
      </c>
      <c r="C19" t="s">
        <v>125</v>
      </c>
      <c r="D19" t="s">
        <v>126</v>
      </c>
      <c r="E19" t="s">
        <v>127</v>
      </c>
      <c r="F19" t="s">
        <v>16</v>
      </c>
      <c r="G19" s="2">
        <v>44457</v>
      </c>
      <c r="H19">
        <v>2021</v>
      </c>
      <c r="I19" t="s">
        <v>74</v>
      </c>
      <c r="J19" t="s">
        <v>128</v>
      </c>
      <c r="K19" t="s">
        <v>129</v>
      </c>
      <c r="L19" t="s">
        <v>130</v>
      </c>
    </row>
    <row r="20" spans="1:12" x14ac:dyDescent="0.3">
      <c r="A20" t="s">
        <v>131</v>
      </c>
      <c r="B20" t="s">
        <v>22</v>
      </c>
      <c r="C20" t="s">
        <v>132</v>
      </c>
      <c r="D20" t="s">
        <v>2963</v>
      </c>
      <c r="E20" t="s">
        <v>133</v>
      </c>
      <c r="F20" t="s">
        <v>16</v>
      </c>
      <c r="G20" s="2">
        <v>44458</v>
      </c>
      <c r="H20">
        <v>2021</v>
      </c>
      <c r="I20" t="s">
        <v>26</v>
      </c>
      <c r="J20" t="s">
        <v>34</v>
      </c>
      <c r="K20" t="s">
        <v>134</v>
      </c>
      <c r="L20" t="s">
        <v>135</v>
      </c>
    </row>
    <row r="21" spans="1:12" x14ac:dyDescent="0.3">
      <c r="A21" t="s">
        <v>136</v>
      </c>
      <c r="B21" t="s">
        <v>22</v>
      </c>
      <c r="C21" t="s">
        <v>137</v>
      </c>
      <c r="D21" t="s">
        <v>2963</v>
      </c>
      <c r="E21" t="s">
        <v>138</v>
      </c>
      <c r="F21" t="s">
        <v>16</v>
      </c>
      <c r="G21" s="2">
        <v>44459</v>
      </c>
      <c r="H21">
        <v>2018</v>
      </c>
      <c r="I21" t="s">
        <v>74</v>
      </c>
      <c r="J21" t="s">
        <v>139</v>
      </c>
      <c r="K21" t="s">
        <v>140</v>
      </c>
      <c r="L21" t="s">
        <v>141</v>
      </c>
    </row>
    <row r="22" spans="1:12" x14ac:dyDescent="0.3">
      <c r="A22" t="s">
        <v>142</v>
      </c>
      <c r="B22" t="s">
        <v>13</v>
      </c>
      <c r="C22" t="s">
        <v>143</v>
      </c>
      <c r="D22" t="s">
        <v>144</v>
      </c>
      <c r="E22" t="s">
        <v>145</v>
      </c>
      <c r="F22" t="s">
        <v>16</v>
      </c>
      <c r="G22" s="2">
        <v>44460</v>
      </c>
      <c r="H22">
        <v>1996</v>
      </c>
      <c r="I22" t="s">
        <v>100</v>
      </c>
      <c r="J22" t="s">
        <v>146</v>
      </c>
      <c r="K22" t="s">
        <v>147</v>
      </c>
      <c r="L22" t="s">
        <v>148</v>
      </c>
    </row>
    <row r="23" spans="1:12" x14ac:dyDescent="0.3">
      <c r="A23" t="s">
        <v>151</v>
      </c>
      <c r="B23" t="s">
        <v>13</v>
      </c>
      <c r="C23" t="s">
        <v>152</v>
      </c>
      <c r="D23" t="s">
        <v>153</v>
      </c>
      <c r="E23" t="s">
        <v>154</v>
      </c>
      <c r="F23" t="s">
        <v>16</v>
      </c>
      <c r="G23" s="2">
        <v>44461</v>
      </c>
      <c r="H23">
        <v>1998</v>
      </c>
      <c r="I23" t="s">
        <v>74</v>
      </c>
      <c r="J23" t="s">
        <v>155</v>
      </c>
      <c r="K23" t="s">
        <v>156</v>
      </c>
      <c r="L23" t="s">
        <v>157</v>
      </c>
    </row>
    <row r="24" spans="1:12" x14ac:dyDescent="0.3">
      <c r="A24" t="s">
        <v>158</v>
      </c>
      <c r="B24" t="s">
        <v>22</v>
      </c>
      <c r="C24" t="s">
        <v>159</v>
      </c>
      <c r="D24" t="s">
        <v>2963</v>
      </c>
      <c r="E24" t="s">
        <v>160</v>
      </c>
      <c r="F24" t="s">
        <v>16</v>
      </c>
      <c r="G24" s="2">
        <v>44462</v>
      </c>
      <c r="H24">
        <v>2021</v>
      </c>
      <c r="I24" t="s">
        <v>74</v>
      </c>
      <c r="J24" t="s">
        <v>27</v>
      </c>
      <c r="K24" t="s">
        <v>161</v>
      </c>
      <c r="L24" t="s">
        <v>162</v>
      </c>
    </row>
    <row r="25" spans="1:12" x14ac:dyDescent="0.3">
      <c r="A25" t="s">
        <v>163</v>
      </c>
      <c r="B25" t="s">
        <v>13</v>
      </c>
      <c r="C25" t="s">
        <v>164</v>
      </c>
      <c r="D25" t="s">
        <v>165</v>
      </c>
      <c r="E25" t="s">
        <v>166</v>
      </c>
      <c r="F25" t="s">
        <v>16</v>
      </c>
      <c r="G25" s="2">
        <v>44463</v>
      </c>
      <c r="H25">
        <v>1997</v>
      </c>
      <c r="I25" t="s">
        <v>100</v>
      </c>
      <c r="J25" t="s">
        <v>167</v>
      </c>
      <c r="K25" t="s">
        <v>168</v>
      </c>
      <c r="L25" t="s">
        <v>169</v>
      </c>
    </row>
    <row r="26" spans="1:12" x14ac:dyDescent="0.3">
      <c r="A26" t="s">
        <v>170</v>
      </c>
      <c r="B26" t="s">
        <v>13</v>
      </c>
      <c r="C26" t="s">
        <v>171</v>
      </c>
      <c r="D26" t="s">
        <v>172</v>
      </c>
      <c r="E26" t="s">
        <v>173</v>
      </c>
      <c r="F26" t="s">
        <v>16</v>
      </c>
      <c r="G26" s="2">
        <v>44464</v>
      </c>
      <c r="H26">
        <v>2010</v>
      </c>
      <c r="I26" t="s">
        <v>17</v>
      </c>
      <c r="J26" t="s">
        <v>174</v>
      </c>
      <c r="K26" t="s">
        <v>175</v>
      </c>
      <c r="L26" t="s">
        <v>176</v>
      </c>
    </row>
    <row r="27" spans="1:12" x14ac:dyDescent="0.3">
      <c r="A27" t="s">
        <v>177</v>
      </c>
      <c r="B27" t="s">
        <v>13</v>
      </c>
      <c r="C27" t="s">
        <v>178</v>
      </c>
      <c r="D27" t="s">
        <v>179</v>
      </c>
      <c r="E27" t="s">
        <v>180</v>
      </c>
      <c r="F27" t="s">
        <v>16</v>
      </c>
      <c r="G27" s="2">
        <v>44465</v>
      </c>
      <c r="H27">
        <v>2013</v>
      </c>
      <c r="I27" t="s">
        <v>17</v>
      </c>
      <c r="J27" t="s">
        <v>181</v>
      </c>
      <c r="K27" t="s">
        <v>182</v>
      </c>
      <c r="L27" t="s">
        <v>183</v>
      </c>
    </row>
    <row r="28" spans="1:12" x14ac:dyDescent="0.3">
      <c r="A28" t="s">
        <v>186</v>
      </c>
      <c r="B28" t="s">
        <v>22</v>
      </c>
      <c r="C28" t="s">
        <v>187</v>
      </c>
      <c r="D28" t="s">
        <v>2963</v>
      </c>
      <c r="E28" t="s">
        <v>188</v>
      </c>
      <c r="F28" t="s">
        <v>16</v>
      </c>
      <c r="G28" s="2">
        <v>44466</v>
      </c>
      <c r="H28">
        <v>2021</v>
      </c>
      <c r="I28" t="s">
        <v>26</v>
      </c>
      <c r="J28" t="s">
        <v>34</v>
      </c>
      <c r="K28" t="s">
        <v>189</v>
      </c>
      <c r="L28" t="s">
        <v>190</v>
      </c>
    </row>
    <row r="29" spans="1:12" x14ac:dyDescent="0.3">
      <c r="A29" t="s">
        <v>191</v>
      </c>
      <c r="B29" t="s">
        <v>22</v>
      </c>
      <c r="C29" t="s">
        <v>192</v>
      </c>
      <c r="D29" t="s">
        <v>2963</v>
      </c>
      <c r="E29" t="s">
        <v>193</v>
      </c>
      <c r="F29" t="s">
        <v>16</v>
      </c>
      <c r="G29" s="2">
        <v>44467</v>
      </c>
      <c r="H29">
        <v>2020</v>
      </c>
      <c r="I29" t="s">
        <v>26</v>
      </c>
      <c r="J29" t="s">
        <v>194</v>
      </c>
      <c r="K29" t="s">
        <v>195</v>
      </c>
      <c r="L29" t="s">
        <v>196</v>
      </c>
    </row>
    <row r="30" spans="1:12" x14ac:dyDescent="0.3">
      <c r="A30" t="s">
        <v>197</v>
      </c>
      <c r="B30" t="s">
        <v>22</v>
      </c>
      <c r="C30" t="s">
        <v>198</v>
      </c>
      <c r="D30" t="s">
        <v>2963</v>
      </c>
      <c r="E30" t="s">
        <v>199</v>
      </c>
      <c r="F30" t="s">
        <v>16</v>
      </c>
      <c r="G30" s="2">
        <v>44468</v>
      </c>
      <c r="H30">
        <v>2021</v>
      </c>
      <c r="I30" t="s">
        <v>26</v>
      </c>
      <c r="J30" t="s">
        <v>34</v>
      </c>
      <c r="K30" t="s">
        <v>200</v>
      </c>
      <c r="L30" t="s">
        <v>201</v>
      </c>
    </row>
    <row r="31" spans="1:12" x14ac:dyDescent="0.3">
      <c r="A31" t="s">
        <v>202</v>
      </c>
      <c r="B31" t="s">
        <v>22</v>
      </c>
      <c r="C31" t="s">
        <v>203</v>
      </c>
      <c r="D31" t="s">
        <v>2963</v>
      </c>
      <c r="E31" t="s">
        <v>204</v>
      </c>
      <c r="F31" t="s">
        <v>16</v>
      </c>
      <c r="G31" s="2">
        <v>44469</v>
      </c>
      <c r="H31">
        <v>2020</v>
      </c>
      <c r="I31" t="s">
        <v>205</v>
      </c>
      <c r="J31" t="s">
        <v>34</v>
      </c>
      <c r="K31" t="s">
        <v>206</v>
      </c>
      <c r="L31" t="s">
        <v>207</v>
      </c>
    </row>
    <row r="32" spans="1:12" x14ac:dyDescent="0.3">
      <c r="A32" t="s">
        <v>208</v>
      </c>
      <c r="B32" t="s">
        <v>13</v>
      </c>
      <c r="C32" t="s">
        <v>209</v>
      </c>
      <c r="D32" t="s">
        <v>210</v>
      </c>
      <c r="E32" t="s">
        <v>211</v>
      </c>
      <c r="F32" t="s">
        <v>16</v>
      </c>
      <c r="G32" s="2">
        <v>44470</v>
      </c>
      <c r="H32">
        <v>2021</v>
      </c>
      <c r="I32" t="s">
        <v>26</v>
      </c>
      <c r="J32" t="s">
        <v>212</v>
      </c>
      <c r="K32" t="s">
        <v>213</v>
      </c>
      <c r="L32" t="s">
        <v>214</v>
      </c>
    </row>
    <row r="33" spans="1:12" x14ac:dyDescent="0.3">
      <c r="A33" t="s">
        <v>215</v>
      </c>
      <c r="B33" t="s">
        <v>13</v>
      </c>
      <c r="C33" t="s">
        <v>216</v>
      </c>
      <c r="D33" t="s">
        <v>217</v>
      </c>
      <c r="E33" t="s">
        <v>218</v>
      </c>
      <c r="F33" t="s">
        <v>16</v>
      </c>
      <c r="G33" s="2">
        <v>44471</v>
      </c>
      <c r="H33">
        <v>2021</v>
      </c>
      <c r="I33" t="s">
        <v>26</v>
      </c>
      <c r="J33" t="s">
        <v>219</v>
      </c>
      <c r="K33" t="s">
        <v>220</v>
      </c>
      <c r="L33" t="s">
        <v>221</v>
      </c>
    </row>
    <row r="34" spans="1:12" x14ac:dyDescent="0.3">
      <c r="A34" t="s">
        <v>222</v>
      </c>
      <c r="B34" t="s">
        <v>22</v>
      </c>
      <c r="C34" t="s">
        <v>223</v>
      </c>
      <c r="D34" t="s">
        <v>2963</v>
      </c>
      <c r="E34" t="s">
        <v>224</v>
      </c>
      <c r="F34" t="s">
        <v>16</v>
      </c>
      <c r="G34" s="2">
        <v>44472</v>
      </c>
      <c r="H34">
        <v>2018</v>
      </c>
      <c r="I34" t="s">
        <v>205</v>
      </c>
      <c r="J34" t="s">
        <v>34</v>
      </c>
      <c r="K34" t="s">
        <v>225</v>
      </c>
      <c r="L34" t="s">
        <v>226</v>
      </c>
    </row>
    <row r="35" spans="1:12" x14ac:dyDescent="0.3">
      <c r="A35" t="s">
        <v>227</v>
      </c>
      <c r="B35" t="s">
        <v>13</v>
      </c>
      <c r="C35" t="s">
        <v>228</v>
      </c>
      <c r="D35" t="s">
        <v>229</v>
      </c>
      <c r="E35" t="s">
        <v>230</v>
      </c>
      <c r="F35" t="s">
        <v>16</v>
      </c>
      <c r="G35" s="2">
        <v>44473</v>
      </c>
      <c r="H35">
        <v>2017</v>
      </c>
      <c r="I35" t="s">
        <v>17</v>
      </c>
      <c r="J35" t="s">
        <v>231</v>
      </c>
      <c r="K35" t="s">
        <v>232</v>
      </c>
      <c r="L35" t="s">
        <v>233</v>
      </c>
    </row>
    <row r="36" spans="1:12" x14ac:dyDescent="0.3">
      <c r="A36" t="s">
        <v>234</v>
      </c>
      <c r="B36" t="s">
        <v>22</v>
      </c>
      <c r="C36" t="s">
        <v>235</v>
      </c>
      <c r="D36" t="s">
        <v>2963</v>
      </c>
      <c r="E36" t="s">
        <v>236</v>
      </c>
      <c r="F36" t="s">
        <v>16</v>
      </c>
      <c r="G36" s="2">
        <v>44474</v>
      </c>
      <c r="H36">
        <v>2021</v>
      </c>
      <c r="I36" t="s">
        <v>205</v>
      </c>
      <c r="J36" t="s">
        <v>34</v>
      </c>
      <c r="K36" t="s">
        <v>237</v>
      </c>
      <c r="L36" t="s">
        <v>238</v>
      </c>
    </row>
    <row r="37" spans="1:12" x14ac:dyDescent="0.3">
      <c r="A37" t="s">
        <v>239</v>
      </c>
      <c r="B37" t="s">
        <v>13</v>
      </c>
      <c r="C37" t="s">
        <v>240</v>
      </c>
      <c r="D37" t="s">
        <v>241</v>
      </c>
      <c r="E37" t="s">
        <v>242</v>
      </c>
      <c r="F37" t="s">
        <v>16</v>
      </c>
      <c r="G37" s="2">
        <v>44475</v>
      </c>
      <c r="H37">
        <v>1975</v>
      </c>
      <c r="I37" t="s">
        <v>57</v>
      </c>
      <c r="J37" t="s">
        <v>243</v>
      </c>
      <c r="K37" t="s">
        <v>244</v>
      </c>
      <c r="L37" t="s">
        <v>245</v>
      </c>
    </row>
    <row r="38" spans="1:12" x14ac:dyDescent="0.3">
      <c r="A38" t="s">
        <v>246</v>
      </c>
      <c r="B38" t="s">
        <v>13</v>
      </c>
      <c r="C38" t="s">
        <v>247</v>
      </c>
      <c r="D38" t="s">
        <v>248</v>
      </c>
      <c r="E38" t="s">
        <v>249</v>
      </c>
      <c r="F38" t="s">
        <v>16</v>
      </c>
      <c r="G38" s="2">
        <v>44476</v>
      </c>
      <c r="H38">
        <v>1978</v>
      </c>
      <c r="I38" t="s">
        <v>57</v>
      </c>
      <c r="J38" t="s">
        <v>250</v>
      </c>
      <c r="K38" t="s">
        <v>251</v>
      </c>
      <c r="L38" t="s">
        <v>252</v>
      </c>
    </row>
    <row r="39" spans="1:12" x14ac:dyDescent="0.3">
      <c r="A39" t="s">
        <v>253</v>
      </c>
      <c r="B39" t="s">
        <v>13</v>
      </c>
      <c r="C39" t="s">
        <v>254</v>
      </c>
      <c r="D39" t="s">
        <v>255</v>
      </c>
      <c r="E39" t="s">
        <v>256</v>
      </c>
      <c r="F39" t="s">
        <v>16</v>
      </c>
      <c r="G39" s="2">
        <v>44477</v>
      </c>
      <c r="H39">
        <v>1983</v>
      </c>
      <c r="I39" t="s">
        <v>57</v>
      </c>
      <c r="J39" t="s">
        <v>257</v>
      </c>
      <c r="K39" t="s">
        <v>258</v>
      </c>
      <c r="L39" t="s">
        <v>259</v>
      </c>
    </row>
    <row r="40" spans="1:12" x14ac:dyDescent="0.3">
      <c r="A40" t="s">
        <v>260</v>
      </c>
      <c r="B40" t="s">
        <v>13</v>
      </c>
      <c r="C40" t="s">
        <v>261</v>
      </c>
      <c r="D40" t="s">
        <v>262</v>
      </c>
      <c r="E40" t="s">
        <v>263</v>
      </c>
      <c r="F40" t="s">
        <v>16</v>
      </c>
      <c r="G40" s="2">
        <v>44478</v>
      </c>
      <c r="H40">
        <v>2012</v>
      </c>
      <c r="I40" t="s">
        <v>264</v>
      </c>
      <c r="J40" t="s">
        <v>265</v>
      </c>
      <c r="K40" t="s">
        <v>266</v>
      </c>
      <c r="L40" t="s">
        <v>267</v>
      </c>
    </row>
    <row r="41" spans="1:12" x14ac:dyDescent="0.3">
      <c r="A41" t="s">
        <v>268</v>
      </c>
      <c r="B41" t="s">
        <v>13</v>
      </c>
      <c r="C41" t="s">
        <v>269</v>
      </c>
      <c r="D41" t="s">
        <v>270</v>
      </c>
      <c r="E41" t="s">
        <v>271</v>
      </c>
      <c r="F41" t="s">
        <v>16</v>
      </c>
      <c r="G41" s="2">
        <v>44479</v>
      </c>
      <c r="H41">
        <v>2001</v>
      </c>
      <c r="I41" t="s">
        <v>264</v>
      </c>
      <c r="J41" t="s">
        <v>272</v>
      </c>
      <c r="K41" t="s">
        <v>273</v>
      </c>
      <c r="L41" t="s">
        <v>274</v>
      </c>
    </row>
    <row r="42" spans="1:12" x14ac:dyDescent="0.3">
      <c r="A42" t="s">
        <v>275</v>
      </c>
      <c r="B42" t="s">
        <v>22</v>
      </c>
      <c r="C42" t="s">
        <v>276</v>
      </c>
      <c r="D42" t="s">
        <v>2963</v>
      </c>
      <c r="E42" t="s">
        <v>277</v>
      </c>
      <c r="F42" t="s">
        <v>16</v>
      </c>
      <c r="G42" s="2">
        <v>44480</v>
      </c>
      <c r="H42">
        <v>2021</v>
      </c>
      <c r="I42" t="s">
        <v>26</v>
      </c>
      <c r="J42" t="s">
        <v>27</v>
      </c>
      <c r="K42" t="s">
        <v>278</v>
      </c>
      <c r="L42" t="s">
        <v>279</v>
      </c>
    </row>
    <row r="43" spans="1:12" x14ac:dyDescent="0.3">
      <c r="A43" t="s">
        <v>280</v>
      </c>
      <c r="B43" t="s">
        <v>22</v>
      </c>
      <c r="C43" t="s">
        <v>281</v>
      </c>
      <c r="D43" t="s">
        <v>2963</v>
      </c>
      <c r="E43" t="s">
        <v>282</v>
      </c>
      <c r="F43" t="s">
        <v>16</v>
      </c>
      <c r="G43" s="2">
        <v>44481</v>
      </c>
      <c r="H43">
        <v>2014</v>
      </c>
      <c r="I43" t="s">
        <v>100</v>
      </c>
      <c r="J43" t="s">
        <v>34</v>
      </c>
      <c r="K43" t="s">
        <v>283</v>
      </c>
      <c r="L43" t="s">
        <v>284</v>
      </c>
    </row>
    <row r="44" spans="1:12" x14ac:dyDescent="0.3">
      <c r="A44" t="s">
        <v>285</v>
      </c>
      <c r="B44" t="s">
        <v>13</v>
      </c>
      <c r="C44" t="s">
        <v>286</v>
      </c>
      <c r="D44" t="s">
        <v>287</v>
      </c>
      <c r="E44" t="s">
        <v>288</v>
      </c>
      <c r="F44" t="s">
        <v>16</v>
      </c>
      <c r="G44" s="2">
        <v>44482</v>
      </c>
      <c r="H44">
        <v>2002</v>
      </c>
      <c r="I44" t="s">
        <v>74</v>
      </c>
      <c r="J44" t="s">
        <v>289</v>
      </c>
      <c r="K44" t="s">
        <v>290</v>
      </c>
      <c r="L44" t="s">
        <v>291</v>
      </c>
    </row>
    <row r="45" spans="1:12" x14ac:dyDescent="0.3">
      <c r="A45" t="s">
        <v>294</v>
      </c>
      <c r="B45" t="s">
        <v>22</v>
      </c>
      <c r="C45" t="s">
        <v>295</v>
      </c>
      <c r="D45" t="s">
        <v>2963</v>
      </c>
      <c r="E45" t="s">
        <v>296</v>
      </c>
      <c r="F45" t="s">
        <v>16</v>
      </c>
      <c r="G45" s="2">
        <v>44483</v>
      </c>
      <c r="H45">
        <v>2021</v>
      </c>
      <c r="I45" t="s">
        <v>100</v>
      </c>
      <c r="J45" t="s">
        <v>297</v>
      </c>
      <c r="K45" t="s">
        <v>298</v>
      </c>
      <c r="L45" t="s">
        <v>299</v>
      </c>
    </row>
    <row r="46" spans="1:12" x14ac:dyDescent="0.3">
      <c r="A46" t="s">
        <v>305</v>
      </c>
      <c r="B46" t="s">
        <v>22</v>
      </c>
      <c r="C46" t="s">
        <v>306</v>
      </c>
      <c r="D46" t="s">
        <v>2963</v>
      </c>
      <c r="E46" t="s">
        <v>2963</v>
      </c>
      <c r="F46" t="s">
        <v>16</v>
      </c>
      <c r="G46" s="2">
        <v>44484</v>
      </c>
      <c r="H46">
        <v>2014</v>
      </c>
      <c r="I46" t="s">
        <v>307</v>
      </c>
      <c r="J46" t="s">
        <v>34</v>
      </c>
      <c r="K46" t="s">
        <v>308</v>
      </c>
      <c r="L46" t="s">
        <v>309</v>
      </c>
    </row>
    <row r="47" spans="1:12" x14ac:dyDescent="0.3">
      <c r="A47" t="s">
        <v>310</v>
      </c>
      <c r="B47" t="s">
        <v>13</v>
      </c>
      <c r="C47" t="s">
        <v>311</v>
      </c>
      <c r="D47" t="s">
        <v>312</v>
      </c>
      <c r="E47" t="s">
        <v>313</v>
      </c>
      <c r="F47" t="s">
        <v>16</v>
      </c>
      <c r="G47" s="2">
        <v>44485</v>
      </c>
      <c r="H47">
        <v>2021</v>
      </c>
      <c r="I47" t="s">
        <v>74</v>
      </c>
      <c r="J47" t="s">
        <v>314</v>
      </c>
      <c r="K47" t="s">
        <v>315</v>
      </c>
      <c r="L47" t="s">
        <v>316</v>
      </c>
    </row>
    <row r="48" spans="1:12" x14ac:dyDescent="0.3">
      <c r="A48" t="s">
        <v>317</v>
      </c>
      <c r="B48" t="s">
        <v>22</v>
      </c>
      <c r="C48" t="s">
        <v>318</v>
      </c>
      <c r="D48" t="s">
        <v>2963</v>
      </c>
      <c r="E48" t="s">
        <v>319</v>
      </c>
      <c r="F48" t="s">
        <v>16</v>
      </c>
      <c r="G48" s="2">
        <v>44486</v>
      </c>
      <c r="H48">
        <v>2021</v>
      </c>
      <c r="I48" t="s">
        <v>26</v>
      </c>
      <c r="J48" t="s">
        <v>34</v>
      </c>
      <c r="K48" t="s">
        <v>320</v>
      </c>
      <c r="L48" t="s">
        <v>321</v>
      </c>
    </row>
    <row r="49" spans="1:12" x14ac:dyDescent="0.3">
      <c r="A49" t="s">
        <v>322</v>
      </c>
      <c r="B49" t="s">
        <v>22</v>
      </c>
      <c r="C49" t="s">
        <v>323</v>
      </c>
      <c r="D49" t="s">
        <v>2963</v>
      </c>
      <c r="E49" t="s">
        <v>324</v>
      </c>
      <c r="F49" t="s">
        <v>16</v>
      </c>
      <c r="G49" s="2">
        <v>44487</v>
      </c>
      <c r="H49">
        <v>2021</v>
      </c>
      <c r="I49" t="s">
        <v>26</v>
      </c>
      <c r="J49" t="s">
        <v>139</v>
      </c>
      <c r="K49" t="s">
        <v>325</v>
      </c>
      <c r="L49" t="s">
        <v>326</v>
      </c>
    </row>
    <row r="50" spans="1:12" x14ac:dyDescent="0.3">
      <c r="A50" t="s">
        <v>328</v>
      </c>
      <c r="B50" t="s">
        <v>22</v>
      </c>
      <c r="C50" t="s">
        <v>329</v>
      </c>
      <c r="D50" t="s">
        <v>2963</v>
      </c>
      <c r="E50" t="s">
        <v>330</v>
      </c>
      <c r="F50" t="s">
        <v>16</v>
      </c>
      <c r="G50" s="2">
        <v>44488</v>
      </c>
      <c r="H50">
        <v>2013</v>
      </c>
      <c r="I50" t="s">
        <v>74</v>
      </c>
      <c r="J50" t="s">
        <v>34</v>
      </c>
      <c r="K50" t="s">
        <v>331</v>
      </c>
      <c r="L50" t="s">
        <v>332</v>
      </c>
    </row>
    <row r="51" spans="1:12" x14ac:dyDescent="0.3">
      <c r="A51" t="s">
        <v>333</v>
      </c>
      <c r="B51" t="s">
        <v>13</v>
      </c>
      <c r="C51" t="s">
        <v>334</v>
      </c>
      <c r="D51" t="s">
        <v>335</v>
      </c>
      <c r="E51" t="s">
        <v>336</v>
      </c>
      <c r="F51" t="s">
        <v>16</v>
      </c>
      <c r="G51" s="2">
        <v>44489</v>
      </c>
      <c r="H51">
        <v>2020</v>
      </c>
      <c r="I51" t="s">
        <v>74</v>
      </c>
      <c r="J51" t="s">
        <v>337</v>
      </c>
      <c r="K51" t="s">
        <v>338</v>
      </c>
      <c r="L51" t="s">
        <v>339</v>
      </c>
    </row>
    <row r="52" spans="1:12" x14ac:dyDescent="0.3">
      <c r="A52" t="s">
        <v>340</v>
      </c>
      <c r="B52" t="s">
        <v>22</v>
      </c>
      <c r="C52" t="s">
        <v>341</v>
      </c>
      <c r="D52" t="s">
        <v>2963</v>
      </c>
      <c r="E52" t="s">
        <v>342</v>
      </c>
      <c r="F52" t="s">
        <v>16</v>
      </c>
      <c r="G52" s="2">
        <v>44490</v>
      </c>
      <c r="H52">
        <v>2021</v>
      </c>
      <c r="I52" t="s">
        <v>74</v>
      </c>
      <c r="J52" t="s">
        <v>297</v>
      </c>
      <c r="K52" t="s">
        <v>343</v>
      </c>
      <c r="L52" t="s">
        <v>344</v>
      </c>
    </row>
    <row r="53" spans="1:12" x14ac:dyDescent="0.3">
      <c r="A53" t="s">
        <v>345</v>
      </c>
      <c r="B53" t="s">
        <v>13</v>
      </c>
      <c r="C53" t="s">
        <v>346</v>
      </c>
      <c r="D53" t="s">
        <v>347</v>
      </c>
      <c r="E53" t="s">
        <v>348</v>
      </c>
      <c r="F53" t="s">
        <v>16</v>
      </c>
      <c r="G53" s="2">
        <v>44491</v>
      </c>
      <c r="H53">
        <v>2020</v>
      </c>
      <c r="I53" t="s">
        <v>26</v>
      </c>
      <c r="J53" t="s">
        <v>167</v>
      </c>
      <c r="K53" t="s">
        <v>349</v>
      </c>
      <c r="L53" t="s">
        <v>350</v>
      </c>
    </row>
    <row r="54" spans="1:12" x14ac:dyDescent="0.3">
      <c r="A54" t="s">
        <v>351</v>
      </c>
      <c r="B54" t="s">
        <v>22</v>
      </c>
      <c r="C54" t="s">
        <v>352</v>
      </c>
      <c r="D54" t="s">
        <v>2963</v>
      </c>
      <c r="E54" t="s">
        <v>353</v>
      </c>
      <c r="F54" t="s">
        <v>16</v>
      </c>
      <c r="G54" s="2">
        <v>44492</v>
      </c>
      <c r="H54">
        <v>2021</v>
      </c>
      <c r="I54" t="s">
        <v>205</v>
      </c>
      <c r="J54" t="s">
        <v>34</v>
      </c>
      <c r="K54" t="s">
        <v>354</v>
      </c>
      <c r="L54" t="s">
        <v>355</v>
      </c>
    </row>
    <row r="55" spans="1:12" x14ac:dyDescent="0.3">
      <c r="A55" t="s">
        <v>356</v>
      </c>
      <c r="B55" t="s">
        <v>13</v>
      </c>
      <c r="C55" t="s">
        <v>357</v>
      </c>
      <c r="D55" t="s">
        <v>358</v>
      </c>
      <c r="E55" t="s">
        <v>359</v>
      </c>
      <c r="F55" t="s">
        <v>16</v>
      </c>
      <c r="G55" s="2">
        <v>44493</v>
      </c>
      <c r="H55">
        <v>2021</v>
      </c>
      <c r="I55" t="s">
        <v>26</v>
      </c>
      <c r="J55" t="s">
        <v>360</v>
      </c>
      <c r="K55" t="s">
        <v>361</v>
      </c>
      <c r="L55" t="s">
        <v>362</v>
      </c>
    </row>
    <row r="56" spans="1:12" x14ac:dyDescent="0.3">
      <c r="A56" t="s">
        <v>363</v>
      </c>
      <c r="B56" t="s">
        <v>22</v>
      </c>
      <c r="C56" t="s">
        <v>364</v>
      </c>
      <c r="D56" t="s">
        <v>2963</v>
      </c>
      <c r="E56" t="s">
        <v>365</v>
      </c>
      <c r="F56" t="s">
        <v>16</v>
      </c>
      <c r="G56" s="2">
        <v>44494</v>
      </c>
      <c r="H56">
        <v>2019</v>
      </c>
      <c r="I56" t="s">
        <v>149</v>
      </c>
      <c r="J56" t="s">
        <v>27</v>
      </c>
      <c r="K56" t="s">
        <v>366</v>
      </c>
      <c r="L56" t="s">
        <v>367</v>
      </c>
    </row>
    <row r="57" spans="1:12" x14ac:dyDescent="0.3">
      <c r="A57" t="s">
        <v>368</v>
      </c>
      <c r="B57" t="s">
        <v>13</v>
      </c>
      <c r="C57" t="s">
        <v>369</v>
      </c>
      <c r="D57" t="s">
        <v>370</v>
      </c>
      <c r="E57" t="s">
        <v>371</v>
      </c>
      <c r="F57" t="s">
        <v>16</v>
      </c>
      <c r="G57" s="2">
        <v>44495</v>
      </c>
      <c r="H57">
        <v>2021</v>
      </c>
      <c r="I57" t="s">
        <v>17</v>
      </c>
      <c r="J57" t="s">
        <v>231</v>
      </c>
      <c r="K57" t="s">
        <v>372</v>
      </c>
      <c r="L57" t="s">
        <v>373</v>
      </c>
    </row>
    <row r="58" spans="1:12" x14ac:dyDescent="0.3">
      <c r="A58" t="s">
        <v>374</v>
      </c>
      <c r="B58" t="s">
        <v>13</v>
      </c>
      <c r="C58" t="s">
        <v>375</v>
      </c>
      <c r="D58" t="s">
        <v>376</v>
      </c>
      <c r="E58" t="s">
        <v>377</v>
      </c>
      <c r="F58" t="s">
        <v>16</v>
      </c>
      <c r="G58" s="2">
        <v>44496</v>
      </c>
      <c r="H58">
        <v>2019</v>
      </c>
      <c r="I58" t="s">
        <v>26</v>
      </c>
      <c r="J58" t="s">
        <v>302</v>
      </c>
      <c r="K58" t="s">
        <v>378</v>
      </c>
      <c r="L58" t="s">
        <v>379</v>
      </c>
    </row>
    <row r="59" spans="1:12" x14ac:dyDescent="0.3">
      <c r="A59" t="s">
        <v>381</v>
      </c>
      <c r="B59" t="s">
        <v>13</v>
      </c>
      <c r="C59" t="s">
        <v>382</v>
      </c>
      <c r="D59" t="s">
        <v>383</v>
      </c>
      <c r="E59" t="s">
        <v>384</v>
      </c>
      <c r="F59" t="s">
        <v>16</v>
      </c>
      <c r="G59" s="2">
        <v>44497</v>
      </c>
      <c r="H59">
        <v>2021</v>
      </c>
      <c r="I59" t="s">
        <v>26</v>
      </c>
      <c r="J59" t="s">
        <v>58</v>
      </c>
      <c r="K59" t="s">
        <v>385</v>
      </c>
      <c r="L59" t="s">
        <v>386</v>
      </c>
    </row>
    <row r="60" spans="1:12" x14ac:dyDescent="0.3">
      <c r="A60" t="s">
        <v>387</v>
      </c>
      <c r="B60" t="s">
        <v>13</v>
      </c>
      <c r="C60" t="s">
        <v>388</v>
      </c>
      <c r="D60" t="s">
        <v>389</v>
      </c>
      <c r="E60" t="s">
        <v>390</v>
      </c>
      <c r="F60" t="s">
        <v>16</v>
      </c>
      <c r="G60" s="2">
        <v>44498</v>
      </c>
      <c r="H60">
        <v>2018</v>
      </c>
      <c r="I60" t="s">
        <v>26</v>
      </c>
      <c r="J60" t="s">
        <v>181</v>
      </c>
      <c r="K60" t="s">
        <v>391</v>
      </c>
      <c r="L60" t="s">
        <v>392</v>
      </c>
    </row>
    <row r="61" spans="1:12" x14ac:dyDescent="0.3">
      <c r="A61" t="s">
        <v>393</v>
      </c>
      <c r="B61" t="s">
        <v>22</v>
      </c>
      <c r="C61" t="s">
        <v>394</v>
      </c>
      <c r="D61" t="s">
        <v>2963</v>
      </c>
      <c r="E61" t="s">
        <v>395</v>
      </c>
      <c r="F61" t="s">
        <v>16</v>
      </c>
      <c r="G61" s="2">
        <v>44499</v>
      </c>
      <c r="H61">
        <v>2021</v>
      </c>
      <c r="I61" t="s">
        <v>205</v>
      </c>
      <c r="J61" t="s">
        <v>27</v>
      </c>
      <c r="K61" t="s">
        <v>396</v>
      </c>
      <c r="L61" t="s">
        <v>397</v>
      </c>
    </row>
    <row r="62" spans="1:12" x14ac:dyDescent="0.3">
      <c r="A62" t="s">
        <v>398</v>
      </c>
      <c r="B62" t="s">
        <v>22</v>
      </c>
      <c r="C62" t="s">
        <v>399</v>
      </c>
      <c r="D62" t="s">
        <v>2963</v>
      </c>
      <c r="E62" t="s">
        <v>400</v>
      </c>
      <c r="F62" t="s">
        <v>16</v>
      </c>
      <c r="G62" s="2">
        <v>44500</v>
      </c>
      <c r="H62">
        <v>2021</v>
      </c>
      <c r="I62" t="s">
        <v>149</v>
      </c>
      <c r="J62" t="s">
        <v>34</v>
      </c>
      <c r="K62" t="s">
        <v>401</v>
      </c>
      <c r="L62" t="s">
        <v>402</v>
      </c>
    </row>
    <row r="63" spans="1:12" x14ac:dyDescent="0.3">
      <c r="A63" t="s">
        <v>403</v>
      </c>
      <c r="B63" t="s">
        <v>22</v>
      </c>
      <c r="C63" t="s">
        <v>404</v>
      </c>
      <c r="D63" t="s">
        <v>405</v>
      </c>
      <c r="E63" t="s">
        <v>2963</v>
      </c>
      <c r="F63" t="s">
        <v>16</v>
      </c>
      <c r="G63" s="2">
        <v>44501</v>
      </c>
      <c r="H63">
        <v>2021</v>
      </c>
      <c r="I63" t="s">
        <v>74</v>
      </c>
      <c r="J63" t="s">
        <v>34</v>
      </c>
      <c r="K63" t="s">
        <v>406</v>
      </c>
      <c r="L63" t="s">
        <v>407</v>
      </c>
    </row>
    <row r="64" spans="1:12" x14ac:dyDescent="0.3">
      <c r="A64" t="s">
        <v>410</v>
      </c>
      <c r="B64" t="s">
        <v>13</v>
      </c>
      <c r="C64" t="s">
        <v>411</v>
      </c>
      <c r="D64" t="s">
        <v>412</v>
      </c>
      <c r="E64" t="s">
        <v>413</v>
      </c>
      <c r="F64" t="s">
        <v>16</v>
      </c>
      <c r="G64" s="2">
        <v>44502</v>
      </c>
      <c r="H64">
        <v>2018</v>
      </c>
      <c r="I64" t="s">
        <v>414</v>
      </c>
      <c r="J64" t="s">
        <v>18</v>
      </c>
      <c r="K64" t="s">
        <v>415</v>
      </c>
      <c r="L64" t="s">
        <v>416</v>
      </c>
    </row>
    <row r="65" spans="1:12" x14ac:dyDescent="0.3">
      <c r="A65" t="s">
        <v>417</v>
      </c>
      <c r="B65" t="s">
        <v>22</v>
      </c>
      <c r="C65" t="s">
        <v>418</v>
      </c>
      <c r="D65" t="s">
        <v>2963</v>
      </c>
      <c r="E65" t="s">
        <v>419</v>
      </c>
      <c r="F65" t="s">
        <v>16</v>
      </c>
      <c r="G65" s="2">
        <v>44503</v>
      </c>
      <c r="H65">
        <v>2021</v>
      </c>
      <c r="I65" t="s">
        <v>307</v>
      </c>
      <c r="J65" t="s">
        <v>34</v>
      </c>
      <c r="K65" t="s">
        <v>420</v>
      </c>
      <c r="L65" t="s">
        <v>421</v>
      </c>
    </row>
    <row r="66" spans="1:12" x14ac:dyDescent="0.3">
      <c r="A66" t="s">
        <v>422</v>
      </c>
      <c r="B66" t="s">
        <v>22</v>
      </c>
      <c r="C66" t="s">
        <v>423</v>
      </c>
      <c r="D66" t="s">
        <v>2963</v>
      </c>
      <c r="E66" t="s">
        <v>424</v>
      </c>
      <c r="F66" t="s">
        <v>16</v>
      </c>
      <c r="G66" s="2">
        <v>44504</v>
      </c>
      <c r="H66">
        <v>2021</v>
      </c>
      <c r="I66" t="s">
        <v>26</v>
      </c>
      <c r="J66" t="s">
        <v>139</v>
      </c>
      <c r="K66" t="s">
        <v>425</v>
      </c>
      <c r="L66" t="s">
        <v>426</v>
      </c>
    </row>
    <row r="67" spans="1:12" x14ac:dyDescent="0.3">
      <c r="A67" t="s">
        <v>427</v>
      </c>
      <c r="B67" t="s">
        <v>22</v>
      </c>
      <c r="C67" t="s">
        <v>428</v>
      </c>
      <c r="D67" t="s">
        <v>429</v>
      </c>
      <c r="E67" t="s">
        <v>2963</v>
      </c>
      <c r="F67" t="s">
        <v>16</v>
      </c>
      <c r="G67" s="2">
        <v>44505</v>
      </c>
      <c r="H67">
        <v>2021</v>
      </c>
      <c r="I67" t="s">
        <v>26</v>
      </c>
      <c r="J67" t="s">
        <v>34</v>
      </c>
      <c r="K67" t="s">
        <v>430</v>
      </c>
      <c r="L67" t="s">
        <v>431</v>
      </c>
    </row>
    <row r="68" spans="1:12" x14ac:dyDescent="0.3">
      <c r="A68" t="s">
        <v>432</v>
      </c>
      <c r="B68" t="s">
        <v>13</v>
      </c>
      <c r="C68" t="s">
        <v>433</v>
      </c>
      <c r="D68" t="s">
        <v>434</v>
      </c>
      <c r="E68" t="s">
        <v>435</v>
      </c>
      <c r="F68" t="s">
        <v>16</v>
      </c>
      <c r="G68" s="2">
        <v>44506</v>
      </c>
      <c r="H68">
        <v>2021</v>
      </c>
      <c r="I68" t="s">
        <v>17</v>
      </c>
      <c r="J68" t="s">
        <v>436</v>
      </c>
      <c r="K68" t="s">
        <v>437</v>
      </c>
      <c r="L68" t="s">
        <v>438</v>
      </c>
    </row>
    <row r="69" spans="1:12" x14ac:dyDescent="0.3">
      <c r="A69" t="s">
        <v>439</v>
      </c>
      <c r="B69" t="s">
        <v>13</v>
      </c>
      <c r="C69" t="s">
        <v>440</v>
      </c>
      <c r="D69" t="s">
        <v>441</v>
      </c>
      <c r="E69" t="s">
        <v>442</v>
      </c>
      <c r="F69" t="s">
        <v>16</v>
      </c>
      <c r="G69" s="2">
        <v>44507</v>
      </c>
      <c r="H69">
        <v>2021</v>
      </c>
      <c r="I69" t="s">
        <v>100</v>
      </c>
      <c r="J69" t="s">
        <v>212</v>
      </c>
      <c r="K69" t="s">
        <v>443</v>
      </c>
      <c r="L69" t="s">
        <v>444</v>
      </c>
    </row>
    <row r="70" spans="1:12" x14ac:dyDescent="0.3">
      <c r="A70" t="s">
        <v>445</v>
      </c>
      <c r="B70" t="s">
        <v>13</v>
      </c>
      <c r="C70" t="s">
        <v>446</v>
      </c>
      <c r="D70" t="s">
        <v>447</v>
      </c>
      <c r="E70" t="s">
        <v>448</v>
      </c>
      <c r="F70" t="s">
        <v>16</v>
      </c>
      <c r="G70" s="2">
        <v>44508</v>
      </c>
      <c r="H70">
        <v>2009</v>
      </c>
      <c r="I70" t="s">
        <v>57</v>
      </c>
      <c r="J70" t="s">
        <v>436</v>
      </c>
      <c r="K70" t="s">
        <v>449</v>
      </c>
      <c r="L70" t="s">
        <v>450</v>
      </c>
    </row>
    <row r="71" spans="1:12" x14ac:dyDescent="0.3">
      <c r="A71" t="s">
        <v>451</v>
      </c>
      <c r="B71" t="s">
        <v>13</v>
      </c>
      <c r="C71" t="s">
        <v>452</v>
      </c>
      <c r="D71" t="s">
        <v>453</v>
      </c>
      <c r="E71" t="s">
        <v>454</v>
      </c>
      <c r="F71" t="s">
        <v>16</v>
      </c>
      <c r="G71" s="2">
        <v>44509</v>
      </c>
      <c r="H71">
        <v>2015</v>
      </c>
      <c r="I71" t="s">
        <v>100</v>
      </c>
      <c r="J71" t="s">
        <v>455</v>
      </c>
      <c r="K71" t="s">
        <v>456</v>
      </c>
      <c r="L71" t="s">
        <v>457</v>
      </c>
    </row>
    <row r="72" spans="1:12" x14ac:dyDescent="0.3">
      <c r="A72" t="s">
        <v>459</v>
      </c>
      <c r="B72" t="s">
        <v>22</v>
      </c>
      <c r="C72" t="s">
        <v>460</v>
      </c>
      <c r="D72" t="s">
        <v>2963</v>
      </c>
      <c r="E72" t="s">
        <v>461</v>
      </c>
      <c r="F72" t="s">
        <v>16</v>
      </c>
      <c r="G72" s="2">
        <v>44510</v>
      </c>
      <c r="H72">
        <v>2021</v>
      </c>
      <c r="I72" t="s">
        <v>26</v>
      </c>
      <c r="J72" t="s">
        <v>34</v>
      </c>
      <c r="K72" t="s">
        <v>462</v>
      </c>
      <c r="L72" t="s">
        <v>463</v>
      </c>
    </row>
    <row r="73" spans="1:12" x14ac:dyDescent="0.3">
      <c r="A73" t="s">
        <v>465</v>
      </c>
      <c r="B73" t="s">
        <v>13</v>
      </c>
      <c r="C73" t="s">
        <v>466</v>
      </c>
      <c r="D73" t="s">
        <v>467</v>
      </c>
      <c r="E73" t="s">
        <v>468</v>
      </c>
      <c r="F73" t="s">
        <v>16</v>
      </c>
      <c r="G73" s="2">
        <v>44511</v>
      </c>
      <c r="H73">
        <v>2021</v>
      </c>
      <c r="I73" t="s">
        <v>149</v>
      </c>
      <c r="J73" t="s">
        <v>469</v>
      </c>
      <c r="K73" t="s">
        <v>470</v>
      </c>
      <c r="L73" t="s">
        <v>471</v>
      </c>
    </row>
    <row r="74" spans="1:12" x14ac:dyDescent="0.3">
      <c r="A74" t="s">
        <v>472</v>
      </c>
      <c r="B74" t="s">
        <v>13</v>
      </c>
      <c r="C74" t="s">
        <v>473</v>
      </c>
      <c r="D74" t="s">
        <v>474</v>
      </c>
      <c r="E74" t="s">
        <v>475</v>
      </c>
      <c r="F74" t="s">
        <v>16</v>
      </c>
      <c r="G74" s="2">
        <v>44512</v>
      </c>
      <c r="H74">
        <v>1982</v>
      </c>
      <c r="I74" t="s">
        <v>264</v>
      </c>
      <c r="J74" t="s">
        <v>408</v>
      </c>
      <c r="K74" t="s">
        <v>476</v>
      </c>
      <c r="L74" t="s">
        <v>477</v>
      </c>
    </row>
    <row r="75" spans="1:12" x14ac:dyDescent="0.3">
      <c r="A75" t="s">
        <v>478</v>
      </c>
      <c r="B75" t="s">
        <v>22</v>
      </c>
      <c r="C75" t="s">
        <v>479</v>
      </c>
      <c r="D75" t="s">
        <v>2963</v>
      </c>
      <c r="E75" t="s">
        <v>480</v>
      </c>
      <c r="F75" t="s">
        <v>16</v>
      </c>
      <c r="G75" s="2">
        <v>44513</v>
      </c>
      <c r="H75">
        <v>2021</v>
      </c>
      <c r="I75" t="s">
        <v>26</v>
      </c>
      <c r="J75" t="s">
        <v>34</v>
      </c>
      <c r="K75" t="s">
        <v>481</v>
      </c>
      <c r="L75" t="s">
        <v>482</v>
      </c>
    </row>
    <row r="76" spans="1:12" x14ac:dyDescent="0.3">
      <c r="A76" t="s">
        <v>483</v>
      </c>
      <c r="B76" t="s">
        <v>13</v>
      </c>
      <c r="C76" t="s">
        <v>484</v>
      </c>
      <c r="D76" t="s">
        <v>485</v>
      </c>
      <c r="E76" t="s">
        <v>486</v>
      </c>
      <c r="F76" t="s">
        <v>16</v>
      </c>
      <c r="G76" s="2">
        <v>44514</v>
      </c>
      <c r="H76">
        <v>2015</v>
      </c>
      <c r="I76" t="s">
        <v>264</v>
      </c>
      <c r="J76" t="s">
        <v>487</v>
      </c>
      <c r="K76" t="s">
        <v>488</v>
      </c>
      <c r="L76" t="s">
        <v>489</v>
      </c>
    </row>
    <row r="77" spans="1:12" x14ac:dyDescent="0.3">
      <c r="A77" t="s">
        <v>491</v>
      </c>
      <c r="B77" t="s">
        <v>13</v>
      </c>
      <c r="C77" t="s">
        <v>492</v>
      </c>
      <c r="D77" t="s">
        <v>493</v>
      </c>
      <c r="E77" t="s">
        <v>494</v>
      </c>
      <c r="F77" t="s">
        <v>16</v>
      </c>
      <c r="G77" s="2">
        <v>44515</v>
      </c>
      <c r="H77">
        <v>2001</v>
      </c>
      <c r="I77" t="s">
        <v>57</v>
      </c>
      <c r="J77" t="s">
        <v>302</v>
      </c>
      <c r="K77" t="s">
        <v>495</v>
      </c>
      <c r="L77" t="s">
        <v>496</v>
      </c>
    </row>
    <row r="78" spans="1:12" x14ac:dyDescent="0.3">
      <c r="A78" t="s">
        <v>497</v>
      </c>
      <c r="B78" t="s">
        <v>13</v>
      </c>
      <c r="C78" t="s">
        <v>498</v>
      </c>
      <c r="D78" t="s">
        <v>499</v>
      </c>
      <c r="E78" t="s">
        <v>500</v>
      </c>
      <c r="F78" t="s">
        <v>16</v>
      </c>
      <c r="G78" s="2">
        <v>44516</v>
      </c>
      <c r="H78">
        <v>1989</v>
      </c>
      <c r="I78" t="s">
        <v>264</v>
      </c>
      <c r="J78" t="s">
        <v>501</v>
      </c>
      <c r="K78" t="s">
        <v>502</v>
      </c>
      <c r="L78" t="s">
        <v>503</v>
      </c>
    </row>
    <row r="79" spans="1:12" x14ac:dyDescent="0.3">
      <c r="A79" t="s">
        <v>504</v>
      </c>
      <c r="B79" t="s">
        <v>13</v>
      </c>
      <c r="C79" t="s">
        <v>505</v>
      </c>
      <c r="D79" t="s">
        <v>506</v>
      </c>
      <c r="E79" t="s">
        <v>507</v>
      </c>
      <c r="F79" t="s">
        <v>16</v>
      </c>
      <c r="G79" s="2">
        <v>44517</v>
      </c>
      <c r="H79">
        <v>1990</v>
      </c>
      <c r="I79" t="s">
        <v>264</v>
      </c>
      <c r="J79" t="s">
        <v>82</v>
      </c>
      <c r="K79" t="s">
        <v>508</v>
      </c>
      <c r="L79" t="s">
        <v>509</v>
      </c>
    </row>
    <row r="80" spans="1:12" x14ac:dyDescent="0.3">
      <c r="A80" t="s">
        <v>510</v>
      </c>
      <c r="B80" t="s">
        <v>13</v>
      </c>
      <c r="C80" t="s">
        <v>511</v>
      </c>
      <c r="D80" t="s">
        <v>512</v>
      </c>
      <c r="E80" t="s">
        <v>513</v>
      </c>
      <c r="F80" t="s">
        <v>16</v>
      </c>
      <c r="G80" s="2">
        <v>44518</v>
      </c>
      <c r="H80">
        <v>1991</v>
      </c>
      <c r="I80" t="s">
        <v>264</v>
      </c>
      <c r="J80" t="s">
        <v>128</v>
      </c>
      <c r="K80" t="s">
        <v>514</v>
      </c>
      <c r="L80" t="s">
        <v>515</v>
      </c>
    </row>
    <row r="81" spans="1:12" x14ac:dyDescent="0.3">
      <c r="A81" t="s">
        <v>516</v>
      </c>
      <c r="B81" t="s">
        <v>13</v>
      </c>
      <c r="C81" t="s">
        <v>517</v>
      </c>
      <c r="D81" t="s">
        <v>518</v>
      </c>
      <c r="E81" t="s">
        <v>519</v>
      </c>
      <c r="F81" t="s">
        <v>16</v>
      </c>
      <c r="G81" s="2">
        <v>44519</v>
      </c>
      <c r="H81">
        <v>1994</v>
      </c>
      <c r="I81" t="s">
        <v>264</v>
      </c>
      <c r="J81" t="s">
        <v>128</v>
      </c>
      <c r="K81" t="s">
        <v>520</v>
      </c>
      <c r="L81" t="s">
        <v>521</v>
      </c>
    </row>
    <row r="82" spans="1:12" x14ac:dyDescent="0.3">
      <c r="A82" t="s">
        <v>522</v>
      </c>
      <c r="B82" t="s">
        <v>22</v>
      </c>
      <c r="C82" t="s">
        <v>523</v>
      </c>
      <c r="D82" t="s">
        <v>524</v>
      </c>
      <c r="E82" t="s">
        <v>525</v>
      </c>
      <c r="F82" t="s">
        <v>16</v>
      </c>
      <c r="G82" s="2">
        <v>44520</v>
      </c>
      <c r="H82">
        <v>2020</v>
      </c>
      <c r="I82" t="s">
        <v>74</v>
      </c>
      <c r="J82" t="s">
        <v>34</v>
      </c>
      <c r="K82" t="s">
        <v>526</v>
      </c>
      <c r="L82" t="s">
        <v>527</v>
      </c>
    </row>
    <row r="83" spans="1:12" x14ac:dyDescent="0.3">
      <c r="A83" t="s">
        <v>528</v>
      </c>
      <c r="B83" t="s">
        <v>13</v>
      </c>
      <c r="C83" t="s">
        <v>529</v>
      </c>
      <c r="D83" t="s">
        <v>530</v>
      </c>
      <c r="E83" t="s">
        <v>531</v>
      </c>
      <c r="F83" t="s">
        <v>16</v>
      </c>
      <c r="G83" s="2">
        <v>44521</v>
      </c>
      <c r="H83">
        <v>2005</v>
      </c>
      <c r="I83" t="s">
        <v>74</v>
      </c>
      <c r="J83" t="s">
        <v>532</v>
      </c>
      <c r="K83" t="s">
        <v>533</v>
      </c>
      <c r="L83" t="s">
        <v>534</v>
      </c>
    </row>
    <row r="84" spans="1:12" x14ac:dyDescent="0.3">
      <c r="A84" t="s">
        <v>535</v>
      </c>
      <c r="B84" t="s">
        <v>22</v>
      </c>
      <c r="C84" t="s">
        <v>536</v>
      </c>
      <c r="D84" t="s">
        <v>2963</v>
      </c>
      <c r="E84" t="s">
        <v>537</v>
      </c>
      <c r="F84" t="s">
        <v>16</v>
      </c>
      <c r="G84" s="2">
        <v>44522</v>
      </c>
      <c r="H84">
        <v>2015</v>
      </c>
      <c r="I84" t="s">
        <v>26</v>
      </c>
      <c r="J84" t="s">
        <v>194</v>
      </c>
      <c r="K84" t="s">
        <v>538</v>
      </c>
      <c r="L84" t="s">
        <v>539</v>
      </c>
    </row>
    <row r="85" spans="1:12" x14ac:dyDescent="0.3">
      <c r="A85" t="s">
        <v>540</v>
      </c>
      <c r="B85" t="s">
        <v>13</v>
      </c>
      <c r="C85" t="s">
        <v>541</v>
      </c>
      <c r="D85" t="s">
        <v>542</v>
      </c>
      <c r="E85" t="s">
        <v>543</v>
      </c>
      <c r="F85" t="s">
        <v>16</v>
      </c>
      <c r="G85" s="2">
        <v>44523</v>
      </c>
      <c r="H85">
        <v>1986</v>
      </c>
      <c r="I85" t="s">
        <v>57</v>
      </c>
      <c r="J85" t="s">
        <v>544</v>
      </c>
      <c r="K85" t="s">
        <v>545</v>
      </c>
      <c r="L85" t="s">
        <v>546</v>
      </c>
    </row>
    <row r="86" spans="1:12" x14ac:dyDescent="0.3">
      <c r="A86" t="s">
        <v>547</v>
      </c>
      <c r="B86" t="s">
        <v>13</v>
      </c>
      <c r="C86" t="s">
        <v>548</v>
      </c>
      <c r="D86" t="s">
        <v>549</v>
      </c>
      <c r="E86" t="s">
        <v>550</v>
      </c>
      <c r="F86" t="s">
        <v>16</v>
      </c>
      <c r="G86" s="2">
        <v>44524</v>
      </c>
      <c r="H86">
        <v>2010</v>
      </c>
      <c r="I86" t="s">
        <v>57</v>
      </c>
      <c r="J86" t="s">
        <v>219</v>
      </c>
      <c r="K86" t="s">
        <v>551</v>
      </c>
      <c r="L86" t="s">
        <v>552</v>
      </c>
    </row>
    <row r="87" spans="1:12" x14ac:dyDescent="0.3">
      <c r="A87" t="s">
        <v>553</v>
      </c>
      <c r="B87" t="s">
        <v>13</v>
      </c>
      <c r="C87" t="s">
        <v>554</v>
      </c>
      <c r="D87" t="s">
        <v>555</v>
      </c>
      <c r="E87" t="s">
        <v>556</v>
      </c>
      <c r="F87" t="s">
        <v>16</v>
      </c>
      <c r="G87" s="2">
        <v>44525</v>
      </c>
      <c r="H87">
        <v>1996</v>
      </c>
      <c r="I87" t="s">
        <v>17</v>
      </c>
      <c r="J87" t="s">
        <v>184</v>
      </c>
      <c r="K87" t="s">
        <v>557</v>
      </c>
      <c r="L87" t="s">
        <v>558</v>
      </c>
    </row>
    <row r="88" spans="1:12" x14ac:dyDescent="0.3">
      <c r="A88" t="s">
        <v>560</v>
      </c>
      <c r="B88" t="s">
        <v>13</v>
      </c>
      <c r="C88" t="s">
        <v>561</v>
      </c>
      <c r="D88" t="s">
        <v>562</v>
      </c>
      <c r="E88" t="s">
        <v>563</v>
      </c>
      <c r="F88" t="s">
        <v>16</v>
      </c>
      <c r="G88" s="2">
        <v>44526</v>
      </c>
      <c r="H88">
        <v>1984</v>
      </c>
      <c r="I88" t="s">
        <v>264</v>
      </c>
      <c r="J88" t="s">
        <v>564</v>
      </c>
      <c r="K88" t="s">
        <v>565</v>
      </c>
      <c r="L88" t="s">
        <v>566</v>
      </c>
    </row>
    <row r="89" spans="1:12" x14ac:dyDescent="0.3">
      <c r="A89" t="s">
        <v>567</v>
      </c>
      <c r="B89" t="s">
        <v>13</v>
      </c>
      <c r="C89" t="s">
        <v>568</v>
      </c>
      <c r="D89" t="s">
        <v>569</v>
      </c>
      <c r="E89" t="s">
        <v>570</v>
      </c>
      <c r="F89" t="s">
        <v>16</v>
      </c>
      <c r="G89" s="2">
        <v>44527</v>
      </c>
      <c r="H89">
        <v>2001</v>
      </c>
      <c r="I89" t="s">
        <v>57</v>
      </c>
      <c r="J89" t="s">
        <v>302</v>
      </c>
      <c r="K89" t="s">
        <v>571</v>
      </c>
      <c r="L89" t="s">
        <v>572</v>
      </c>
    </row>
    <row r="90" spans="1:12" x14ac:dyDescent="0.3">
      <c r="A90" t="s">
        <v>574</v>
      </c>
      <c r="B90" t="s">
        <v>13</v>
      </c>
      <c r="C90" t="s">
        <v>575</v>
      </c>
      <c r="D90" t="s">
        <v>576</v>
      </c>
      <c r="E90" t="s">
        <v>577</v>
      </c>
      <c r="F90" t="s">
        <v>16</v>
      </c>
      <c r="G90" s="2">
        <v>44528</v>
      </c>
      <c r="H90">
        <v>2017</v>
      </c>
      <c r="I90" t="s">
        <v>17</v>
      </c>
      <c r="J90" t="s">
        <v>501</v>
      </c>
      <c r="K90" t="s">
        <v>578</v>
      </c>
      <c r="L90" t="s">
        <v>579</v>
      </c>
    </row>
    <row r="91" spans="1:12" x14ac:dyDescent="0.3">
      <c r="A91" t="s">
        <v>580</v>
      </c>
      <c r="B91" t="s">
        <v>13</v>
      </c>
      <c r="C91" t="s">
        <v>581</v>
      </c>
      <c r="D91" t="s">
        <v>582</v>
      </c>
      <c r="E91" t="s">
        <v>583</v>
      </c>
      <c r="F91" t="s">
        <v>16</v>
      </c>
      <c r="G91" s="2">
        <v>44529</v>
      </c>
      <c r="H91">
        <v>2015</v>
      </c>
      <c r="I91" t="s">
        <v>17</v>
      </c>
      <c r="J91" t="s">
        <v>304</v>
      </c>
      <c r="K91" t="s">
        <v>584</v>
      </c>
      <c r="L91" t="s">
        <v>585</v>
      </c>
    </row>
    <row r="92" spans="1:12" x14ac:dyDescent="0.3">
      <c r="A92" t="s">
        <v>586</v>
      </c>
      <c r="B92" t="s">
        <v>13</v>
      </c>
      <c r="C92" t="s">
        <v>587</v>
      </c>
      <c r="D92" t="s">
        <v>588</v>
      </c>
      <c r="E92" t="s">
        <v>589</v>
      </c>
      <c r="F92" t="s">
        <v>16</v>
      </c>
      <c r="G92" s="2">
        <v>44530</v>
      </c>
      <c r="H92">
        <v>1961</v>
      </c>
      <c r="I92" t="s">
        <v>74</v>
      </c>
      <c r="J92" t="s">
        <v>590</v>
      </c>
      <c r="K92" t="s">
        <v>591</v>
      </c>
      <c r="L92" t="s">
        <v>592</v>
      </c>
    </row>
    <row r="93" spans="1:12" x14ac:dyDescent="0.3">
      <c r="A93" t="s">
        <v>596</v>
      </c>
      <c r="B93" t="s">
        <v>22</v>
      </c>
      <c r="C93" t="s">
        <v>597</v>
      </c>
      <c r="D93" t="s">
        <v>2963</v>
      </c>
      <c r="E93" t="s">
        <v>2963</v>
      </c>
      <c r="F93" t="s">
        <v>16</v>
      </c>
      <c r="G93" s="2">
        <v>44531</v>
      </c>
      <c r="H93">
        <v>2021</v>
      </c>
      <c r="I93" t="s">
        <v>74</v>
      </c>
      <c r="J93" t="s">
        <v>34</v>
      </c>
      <c r="K93" t="s">
        <v>598</v>
      </c>
      <c r="L93" t="s">
        <v>599</v>
      </c>
    </row>
    <row r="94" spans="1:12" x14ac:dyDescent="0.3">
      <c r="A94" t="s">
        <v>601</v>
      </c>
      <c r="B94" t="s">
        <v>22</v>
      </c>
      <c r="C94" t="s">
        <v>602</v>
      </c>
      <c r="D94" t="s">
        <v>2963</v>
      </c>
      <c r="E94" t="s">
        <v>603</v>
      </c>
      <c r="F94" t="s">
        <v>16</v>
      </c>
      <c r="G94" s="2">
        <v>44532</v>
      </c>
      <c r="H94">
        <v>2021</v>
      </c>
      <c r="I94" t="s">
        <v>307</v>
      </c>
      <c r="J94" t="s">
        <v>34</v>
      </c>
      <c r="K94" t="s">
        <v>604</v>
      </c>
      <c r="L94" t="s">
        <v>605</v>
      </c>
    </row>
    <row r="95" spans="1:12" x14ac:dyDescent="0.3">
      <c r="A95" t="s">
        <v>606</v>
      </c>
      <c r="B95" t="s">
        <v>13</v>
      </c>
      <c r="C95" t="s">
        <v>607</v>
      </c>
      <c r="D95" t="s">
        <v>608</v>
      </c>
      <c r="E95" t="s">
        <v>609</v>
      </c>
      <c r="F95" t="s">
        <v>16</v>
      </c>
      <c r="G95" s="2">
        <v>44533</v>
      </c>
      <c r="H95">
        <v>2017</v>
      </c>
      <c r="I95" t="s">
        <v>264</v>
      </c>
      <c r="J95" t="s">
        <v>595</v>
      </c>
      <c r="K95" t="s">
        <v>610</v>
      </c>
      <c r="L95" t="s">
        <v>611</v>
      </c>
    </row>
    <row r="96" spans="1:12" x14ac:dyDescent="0.3">
      <c r="A96" t="s">
        <v>612</v>
      </c>
      <c r="B96" t="s">
        <v>13</v>
      </c>
      <c r="C96" t="s">
        <v>613</v>
      </c>
      <c r="D96" t="s">
        <v>614</v>
      </c>
      <c r="E96" t="s">
        <v>615</v>
      </c>
      <c r="F96" t="s">
        <v>16</v>
      </c>
      <c r="G96" s="2">
        <v>44534</v>
      </c>
      <c r="H96">
        <v>2008</v>
      </c>
      <c r="I96" t="s">
        <v>74</v>
      </c>
      <c r="J96" t="s">
        <v>93</v>
      </c>
      <c r="K96" t="s">
        <v>616</v>
      </c>
      <c r="L96" t="s">
        <v>617</v>
      </c>
    </row>
    <row r="97" spans="1:12" x14ac:dyDescent="0.3">
      <c r="A97" t="s">
        <v>618</v>
      </c>
      <c r="B97" t="s">
        <v>22</v>
      </c>
      <c r="C97" t="s">
        <v>619</v>
      </c>
      <c r="D97" t="s">
        <v>2963</v>
      </c>
      <c r="E97" t="s">
        <v>620</v>
      </c>
      <c r="F97" t="s">
        <v>16</v>
      </c>
      <c r="G97" s="2">
        <v>44535</v>
      </c>
      <c r="H97">
        <v>2002</v>
      </c>
      <c r="I97" t="s">
        <v>26</v>
      </c>
      <c r="J97" t="s">
        <v>34</v>
      </c>
      <c r="K97" t="s">
        <v>621</v>
      </c>
      <c r="L97" t="s">
        <v>622</v>
      </c>
    </row>
    <row r="98" spans="1:12" x14ac:dyDescent="0.3">
      <c r="A98" t="s">
        <v>623</v>
      </c>
      <c r="B98" t="s">
        <v>22</v>
      </c>
      <c r="C98" t="s">
        <v>624</v>
      </c>
      <c r="D98" t="s">
        <v>327</v>
      </c>
      <c r="E98" t="s">
        <v>625</v>
      </c>
      <c r="F98" t="s">
        <v>16</v>
      </c>
      <c r="G98" s="2">
        <v>44536</v>
      </c>
      <c r="H98">
        <v>2021</v>
      </c>
      <c r="I98" t="s">
        <v>26</v>
      </c>
      <c r="J98" t="s">
        <v>34</v>
      </c>
      <c r="K98" t="s">
        <v>626</v>
      </c>
      <c r="L98" t="s">
        <v>627</v>
      </c>
    </row>
    <row r="99" spans="1:12" x14ac:dyDescent="0.3">
      <c r="A99" t="s">
        <v>628</v>
      </c>
      <c r="B99" t="s">
        <v>13</v>
      </c>
      <c r="C99" t="s">
        <v>629</v>
      </c>
      <c r="D99" t="s">
        <v>630</v>
      </c>
      <c r="E99" t="s">
        <v>631</v>
      </c>
      <c r="F99" t="s">
        <v>16</v>
      </c>
      <c r="G99" s="2">
        <v>44537</v>
      </c>
      <c r="H99">
        <v>2004</v>
      </c>
      <c r="I99" t="s">
        <v>74</v>
      </c>
      <c r="J99" t="s">
        <v>243</v>
      </c>
      <c r="K99" t="s">
        <v>632</v>
      </c>
      <c r="L99" t="s">
        <v>633</v>
      </c>
    </row>
    <row r="100" spans="1:12" x14ac:dyDescent="0.3">
      <c r="A100" t="s">
        <v>635</v>
      </c>
      <c r="B100" t="s">
        <v>13</v>
      </c>
      <c r="C100" t="s">
        <v>636</v>
      </c>
      <c r="D100" t="s">
        <v>637</v>
      </c>
      <c r="E100" t="s">
        <v>638</v>
      </c>
      <c r="F100" t="s">
        <v>16</v>
      </c>
      <c r="G100" s="2">
        <v>44538</v>
      </c>
      <c r="H100">
        <v>2001</v>
      </c>
      <c r="I100" t="s">
        <v>74</v>
      </c>
      <c r="J100" t="s">
        <v>639</v>
      </c>
      <c r="K100" t="s">
        <v>640</v>
      </c>
      <c r="L100" t="s">
        <v>641</v>
      </c>
    </row>
    <row r="101" spans="1:12" x14ac:dyDescent="0.3">
      <c r="A101" t="s">
        <v>642</v>
      </c>
      <c r="B101" t="s">
        <v>13</v>
      </c>
      <c r="C101" t="s">
        <v>643</v>
      </c>
      <c r="D101" t="s">
        <v>644</v>
      </c>
      <c r="E101" t="s">
        <v>645</v>
      </c>
      <c r="F101" t="s">
        <v>16</v>
      </c>
      <c r="G101" s="2">
        <v>44539</v>
      </c>
      <c r="H101">
        <v>2008</v>
      </c>
      <c r="I101" t="s">
        <v>74</v>
      </c>
      <c r="J101" t="s">
        <v>436</v>
      </c>
      <c r="K101" t="s">
        <v>646</v>
      </c>
      <c r="L101" t="s">
        <v>647</v>
      </c>
    </row>
    <row r="102" spans="1:12" x14ac:dyDescent="0.3">
      <c r="A102" t="s">
        <v>648</v>
      </c>
      <c r="B102" t="s">
        <v>13</v>
      </c>
      <c r="C102" t="s">
        <v>649</v>
      </c>
      <c r="D102" t="s">
        <v>650</v>
      </c>
      <c r="E102" t="s">
        <v>651</v>
      </c>
      <c r="F102" t="s">
        <v>16</v>
      </c>
      <c r="G102" s="2">
        <v>44540</v>
      </c>
      <c r="H102">
        <v>2010</v>
      </c>
      <c r="I102" t="s">
        <v>74</v>
      </c>
      <c r="J102" t="s">
        <v>652</v>
      </c>
      <c r="K102" t="s">
        <v>653</v>
      </c>
      <c r="L102" t="s">
        <v>654</v>
      </c>
    </row>
    <row r="103" spans="1:12" x14ac:dyDescent="0.3">
      <c r="A103" t="s">
        <v>655</v>
      </c>
      <c r="B103" t="s">
        <v>13</v>
      </c>
      <c r="C103" t="s">
        <v>656</v>
      </c>
      <c r="D103" t="s">
        <v>657</v>
      </c>
      <c r="E103" t="s">
        <v>658</v>
      </c>
      <c r="F103" t="s">
        <v>16</v>
      </c>
      <c r="G103" s="2">
        <v>44541</v>
      </c>
      <c r="H103">
        <v>2011</v>
      </c>
      <c r="I103" t="s">
        <v>26</v>
      </c>
      <c r="J103" t="s">
        <v>301</v>
      </c>
      <c r="K103" t="s">
        <v>659</v>
      </c>
      <c r="L103" t="s">
        <v>660</v>
      </c>
    </row>
    <row r="104" spans="1:12" x14ac:dyDescent="0.3">
      <c r="A104" t="s">
        <v>661</v>
      </c>
      <c r="B104" t="s">
        <v>22</v>
      </c>
      <c r="C104" t="s">
        <v>662</v>
      </c>
      <c r="D104" t="s">
        <v>2963</v>
      </c>
      <c r="E104" t="s">
        <v>2963</v>
      </c>
      <c r="F104" t="s">
        <v>16</v>
      </c>
      <c r="G104" s="2">
        <v>44542</v>
      </c>
      <c r="H104">
        <v>2021</v>
      </c>
      <c r="I104" t="s">
        <v>74</v>
      </c>
      <c r="J104" t="s">
        <v>34</v>
      </c>
      <c r="K104" t="s">
        <v>663</v>
      </c>
      <c r="L104" t="s">
        <v>664</v>
      </c>
    </row>
    <row r="105" spans="1:12" x14ac:dyDescent="0.3">
      <c r="A105" t="s">
        <v>665</v>
      </c>
      <c r="B105" t="s">
        <v>22</v>
      </c>
      <c r="C105" t="s">
        <v>666</v>
      </c>
      <c r="D105" t="s">
        <v>667</v>
      </c>
      <c r="E105" t="s">
        <v>668</v>
      </c>
      <c r="F105" t="s">
        <v>16</v>
      </c>
      <c r="G105" s="2">
        <v>44543</v>
      </c>
      <c r="H105">
        <v>2021</v>
      </c>
      <c r="I105" t="s">
        <v>26</v>
      </c>
      <c r="J105" t="s">
        <v>34</v>
      </c>
      <c r="K105" t="s">
        <v>669</v>
      </c>
      <c r="L105" t="s">
        <v>670</v>
      </c>
    </row>
    <row r="106" spans="1:12" x14ac:dyDescent="0.3">
      <c r="A106" t="s">
        <v>671</v>
      </c>
      <c r="B106" t="s">
        <v>22</v>
      </c>
      <c r="C106" t="s">
        <v>672</v>
      </c>
      <c r="D106" t="s">
        <v>2963</v>
      </c>
      <c r="E106" t="s">
        <v>2963</v>
      </c>
      <c r="F106" t="s">
        <v>16</v>
      </c>
      <c r="G106" s="2">
        <v>44544</v>
      </c>
      <c r="H106">
        <v>2021</v>
      </c>
      <c r="I106" t="s">
        <v>74</v>
      </c>
      <c r="J106" t="s">
        <v>34</v>
      </c>
      <c r="K106" t="s">
        <v>673</v>
      </c>
      <c r="L106" t="s">
        <v>674</v>
      </c>
    </row>
    <row r="107" spans="1:12" x14ac:dyDescent="0.3">
      <c r="A107" t="s">
        <v>675</v>
      </c>
      <c r="B107" t="s">
        <v>22</v>
      </c>
      <c r="C107" t="s">
        <v>676</v>
      </c>
      <c r="D107" t="s">
        <v>2963</v>
      </c>
      <c r="E107" t="s">
        <v>677</v>
      </c>
      <c r="F107" t="s">
        <v>16</v>
      </c>
      <c r="G107" s="2">
        <v>44545</v>
      </c>
      <c r="H107">
        <v>2021</v>
      </c>
      <c r="I107" t="s">
        <v>26</v>
      </c>
      <c r="J107" t="s">
        <v>34</v>
      </c>
      <c r="K107" t="s">
        <v>678</v>
      </c>
      <c r="L107" t="s">
        <v>679</v>
      </c>
    </row>
    <row r="108" spans="1:12" x14ac:dyDescent="0.3">
      <c r="A108" t="s">
        <v>680</v>
      </c>
      <c r="B108" t="s">
        <v>13</v>
      </c>
      <c r="C108" t="s">
        <v>681</v>
      </c>
      <c r="D108" t="s">
        <v>682</v>
      </c>
      <c r="E108" t="s">
        <v>683</v>
      </c>
      <c r="F108" t="s">
        <v>16</v>
      </c>
      <c r="G108" s="2">
        <v>44546</v>
      </c>
      <c r="H108">
        <v>2020</v>
      </c>
      <c r="I108" t="s">
        <v>26</v>
      </c>
      <c r="J108" t="s">
        <v>302</v>
      </c>
      <c r="K108" t="s">
        <v>684</v>
      </c>
      <c r="L108" t="s">
        <v>685</v>
      </c>
    </row>
    <row r="109" spans="1:12" x14ac:dyDescent="0.3">
      <c r="A109" t="s">
        <v>686</v>
      </c>
      <c r="B109" t="s">
        <v>13</v>
      </c>
      <c r="C109" t="s">
        <v>687</v>
      </c>
      <c r="D109" t="s">
        <v>688</v>
      </c>
      <c r="E109" t="s">
        <v>689</v>
      </c>
      <c r="F109" t="s">
        <v>16</v>
      </c>
      <c r="G109" s="2">
        <v>44547</v>
      </c>
      <c r="H109">
        <v>2020</v>
      </c>
      <c r="I109" t="s">
        <v>26</v>
      </c>
      <c r="J109" t="s">
        <v>18</v>
      </c>
      <c r="K109" t="s">
        <v>690</v>
      </c>
      <c r="L109" t="s">
        <v>691</v>
      </c>
    </row>
    <row r="110" spans="1:12" x14ac:dyDescent="0.3">
      <c r="A110" t="s">
        <v>692</v>
      </c>
      <c r="B110" t="s">
        <v>13</v>
      </c>
      <c r="C110" t="s">
        <v>693</v>
      </c>
      <c r="D110" t="s">
        <v>694</v>
      </c>
      <c r="E110" t="s">
        <v>2963</v>
      </c>
      <c r="F110" t="s">
        <v>16</v>
      </c>
      <c r="G110" s="2">
        <v>44548</v>
      </c>
      <c r="H110">
        <v>2021</v>
      </c>
      <c r="I110" t="s">
        <v>100</v>
      </c>
      <c r="J110" t="s">
        <v>695</v>
      </c>
      <c r="K110" t="s">
        <v>696</v>
      </c>
      <c r="L110" t="s">
        <v>697</v>
      </c>
    </row>
    <row r="111" spans="1:12" x14ac:dyDescent="0.3">
      <c r="A111" t="s">
        <v>698</v>
      </c>
      <c r="B111" t="s">
        <v>13</v>
      </c>
      <c r="C111" t="s">
        <v>699</v>
      </c>
      <c r="D111" t="s">
        <v>700</v>
      </c>
      <c r="E111" t="s">
        <v>701</v>
      </c>
      <c r="F111" t="s">
        <v>16</v>
      </c>
      <c r="G111" s="2">
        <v>44549</v>
      </c>
      <c r="H111">
        <v>2021</v>
      </c>
      <c r="I111" t="s">
        <v>74</v>
      </c>
      <c r="J111" t="s">
        <v>272</v>
      </c>
      <c r="K111" t="s">
        <v>702</v>
      </c>
      <c r="L111" t="s">
        <v>703</v>
      </c>
    </row>
    <row r="112" spans="1:12" x14ac:dyDescent="0.3">
      <c r="A112" t="s">
        <v>704</v>
      </c>
      <c r="B112" t="s">
        <v>13</v>
      </c>
      <c r="C112" t="s">
        <v>705</v>
      </c>
      <c r="D112" t="s">
        <v>706</v>
      </c>
      <c r="E112" t="s">
        <v>707</v>
      </c>
      <c r="F112" t="s">
        <v>16</v>
      </c>
      <c r="G112" s="2">
        <v>44550</v>
      </c>
      <c r="H112">
        <v>2021</v>
      </c>
      <c r="I112" t="s">
        <v>26</v>
      </c>
      <c r="J112" t="s">
        <v>708</v>
      </c>
      <c r="K112" t="s">
        <v>709</v>
      </c>
      <c r="L112" t="s">
        <v>710</v>
      </c>
    </row>
    <row r="113" spans="1:12" x14ac:dyDescent="0.3">
      <c r="A113" t="s">
        <v>711</v>
      </c>
      <c r="B113" t="s">
        <v>22</v>
      </c>
      <c r="C113" t="s">
        <v>712</v>
      </c>
      <c r="D113" t="s">
        <v>2963</v>
      </c>
      <c r="E113" t="s">
        <v>713</v>
      </c>
      <c r="F113" t="s">
        <v>16</v>
      </c>
      <c r="G113" s="2">
        <v>44551</v>
      </c>
      <c r="H113">
        <v>2021</v>
      </c>
      <c r="I113" t="s">
        <v>74</v>
      </c>
      <c r="J113" t="s">
        <v>194</v>
      </c>
      <c r="K113" t="s">
        <v>714</v>
      </c>
      <c r="L113" t="s">
        <v>715</v>
      </c>
    </row>
    <row r="114" spans="1:12" x14ac:dyDescent="0.3">
      <c r="A114" t="s">
        <v>716</v>
      </c>
      <c r="B114" t="s">
        <v>22</v>
      </c>
      <c r="C114" t="s">
        <v>717</v>
      </c>
      <c r="D114" t="s">
        <v>2963</v>
      </c>
      <c r="E114" t="s">
        <v>718</v>
      </c>
      <c r="F114" t="s">
        <v>16</v>
      </c>
      <c r="G114" s="2">
        <v>44552</v>
      </c>
      <c r="H114">
        <v>2021</v>
      </c>
      <c r="I114" t="s">
        <v>26</v>
      </c>
      <c r="J114" t="s">
        <v>34</v>
      </c>
      <c r="K114" t="s">
        <v>719</v>
      </c>
      <c r="L114" t="s">
        <v>720</v>
      </c>
    </row>
    <row r="115" spans="1:12" x14ac:dyDescent="0.3">
      <c r="A115" t="s">
        <v>721</v>
      </c>
      <c r="B115" t="s">
        <v>13</v>
      </c>
      <c r="C115" t="s">
        <v>722</v>
      </c>
      <c r="D115" t="s">
        <v>723</v>
      </c>
      <c r="E115" t="s">
        <v>724</v>
      </c>
      <c r="F115" t="s">
        <v>16</v>
      </c>
      <c r="G115" s="2">
        <v>44553</v>
      </c>
      <c r="H115">
        <v>2021</v>
      </c>
      <c r="I115" t="s">
        <v>205</v>
      </c>
      <c r="J115" t="s">
        <v>292</v>
      </c>
      <c r="K115" t="s">
        <v>725</v>
      </c>
      <c r="L115" t="s">
        <v>726</v>
      </c>
    </row>
    <row r="116" spans="1:12" x14ac:dyDescent="0.3">
      <c r="A116" t="s">
        <v>727</v>
      </c>
      <c r="B116" t="s">
        <v>13</v>
      </c>
      <c r="C116" t="s">
        <v>728</v>
      </c>
      <c r="D116" t="s">
        <v>729</v>
      </c>
      <c r="E116" t="s">
        <v>730</v>
      </c>
      <c r="F116" t="s">
        <v>16</v>
      </c>
      <c r="G116" s="2">
        <v>44554</v>
      </c>
      <c r="H116">
        <v>2014</v>
      </c>
      <c r="I116" t="s">
        <v>264</v>
      </c>
      <c r="J116" t="s">
        <v>128</v>
      </c>
      <c r="K116" t="s">
        <v>731</v>
      </c>
      <c r="L116" t="s">
        <v>732</v>
      </c>
    </row>
    <row r="117" spans="1:12" x14ac:dyDescent="0.3">
      <c r="A117" t="s">
        <v>733</v>
      </c>
      <c r="B117" t="s">
        <v>22</v>
      </c>
      <c r="C117" t="s">
        <v>734</v>
      </c>
      <c r="D117" t="s">
        <v>2963</v>
      </c>
      <c r="E117" t="s">
        <v>735</v>
      </c>
      <c r="F117" t="s">
        <v>16</v>
      </c>
      <c r="G117" s="2">
        <v>44555</v>
      </c>
      <c r="H117">
        <v>2018</v>
      </c>
      <c r="I117" t="s">
        <v>74</v>
      </c>
      <c r="J117" t="s">
        <v>34</v>
      </c>
      <c r="K117" t="s">
        <v>736</v>
      </c>
      <c r="L117" t="s">
        <v>737</v>
      </c>
    </row>
    <row r="118" spans="1:12" x14ac:dyDescent="0.3">
      <c r="A118" t="s">
        <v>738</v>
      </c>
      <c r="B118" t="s">
        <v>13</v>
      </c>
      <c r="C118" t="s">
        <v>739</v>
      </c>
      <c r="D118" t="s">
        <v>447</v>
      </c>
      <c r="E118" t="s">
        <v>740</v>
      </c>
      <c r="F118" t="s">
        <v>16</v>
      </c>
      <c r="G118" s="2">
        <v>44556</v>
      </c>
      <c r="H118">
        <v>1993</v>
      </c>
      <c r="I118" t="s">
        <v>264</v>
      </c>
      <c r="J118" t="s">
        <v>487</v>
      </c>
      <c r="K118" t="s">
        <v>741</v>
      </c>
      <c r="L118" t="s">
        <v>742</v>
      </c>
    </row>
    <row r="119" spans="1:12" x14ac:dyDescent="0.3">
      <c r="A119" t="s">
        <v>744</v>
      </c>
      <c r="B119" t="s">
        <v>22</v>
      </c>
      <c r="C119" t="s">
        <v>745</v>
      </c>
      <c r="D119" t="s">
        <v>746</v>
      </c>
      <c r="E119" t="s">
        <v>747</v>
      </c>
      <c r="F119" t="s">
        <v>16</v>
      </c>
      <c r="G119" s="2">
        <v>44557</v>
      </c>
      <c r="H119">
        <v>2021</v>
      </c>
      <c r="I119" t="s">
        <v>26</v>
      </c>
      <c r="J119" t="s">
        <v>27</v>
      </c>
      <c r="K119" t="s">
        <v>748</v>
      </c>
      <c r="L119" t="s">
        <v>749</v>
      </c>
    </row>
    <row r="120" spans="1:12" x14ac:dyDescent="0.3">
      <c r="A120" t="s">
        <v>750</v>
      </c>
      <c r="B120" t="s">
        <v>22</v>
      </c>
      <c r="C120" t="s">
        <v>751</v>
      </c>
      <c r="D120" t="s">
        <v>2963</v>
      </c>
      <c r="E120" t="s">
        <v>752</v>
      </c>
      <c r="F120" t="s">
        <v>16</v>
      </c>
      <c r="G120" s="2">
        <v>44558</v>
      </c>
      <c r="H120">
        <v>2021</v>
      </c>
      <c r="I120" t="s">
        <v>74</v>
      </c>
      <c r="J120" t="s">
        <v>34</v>
      </c>
      <c r="K120" t="s">
        <v>753</v>
      </c>
      <c r="L120" t="s">
        <v>754</v>
      </c>
    </row>
    <row r="121" spans="1:12" x14ac:dyDescent="0.3">
      <c r="A121" t="s">
        <v>755</v>
      </c>
      <c r="B121" t="s">
        <v>13</v>
      </c>
      <c r="C121" t="s">
        <v>756</v>
      </c>
      <c r="D121" t="s">
        <v>757</v>
      </c>
      <c r="E121" t="s">
        <v>758</v>
      </c>
      <c r="F121" t="s">
        <v>16</v>
      </c>
      <c r="G121" s="2">
        <v>44559</v>
      </c>
      <c r="H121">
        <v>2021</v>
      </c>
      <c r="I121" t="s">
        <v>26</v>
      </c>
      <c r="J121" t="s">
        <v>759</v>
      </c>
      <c r="K121" t="s">
        <v>760</v>
      </c>
      <c r="L121" t="s">
        <v>761</v>
      </c>
    </row>
    <row r="122" spans="1:12" x14ac:dyDescent="0.3">
      <c r="A122" t="s">
        <v>762</v>
      </c>
      <c r="B122" t="s">
        <v>13</v>
      </c>
      <c r="C122" t="s">
        <v>763</v>
      </c>
      <c r="D122" t="s">
        <v>764</v>
      </c>
      <c r="E122" t="s">
        <v>765</v>
      </c>
      <c r="F122" t="s">
        <v>16</v>
      </c>
      <c r="G122" s="2">
        <v>44560</v>
      </c>
      <c r="H122">
        <v>2021</v>
      </c>
      <c r="I122" t="s">
        <v>100</v>
      </c>
      <c r="J122" t="s">
        <v>766</v>
      </c>
      <c r="K122" t="s">
        <v>767</v>
      </c>
      <c r="L122" t="s">
        <v>768</v>
      </c>
    </row>
    <row r="123" spans="1:12" x14ac:dyDescent="0.3">
      <c r="A123" t="s">
        <v>769</v>
      </c>
      <c r="B123" t="s">
        <v>22</v>
      </c>
      <c r="C123" t="s">
        <v>770</v>
      </c>
      <c r="D123" t="s">
        <v>2963</v>
      </c>
      <c r="E123" t="s">
        <v>771</v>
      </c>
      <c r="F123" t="s">
        <v>16</v>
      </c>
      <c r="G123" s="2">
        <v>44561</v>
      </c>
      <c r="H123">
        <v>2019</v>
      </c>
      <c r="I123" t="s">
        <v>74</v>
      </c>
      <c r="J123" t="s">
        <v>34</v>
      </c>
      <c r="K123" t="s">
        <v>772</v>
      </c>
      <c r="L123" t="s">
        <v>773</v>
      </c>
    </row>
    <row r="124" spans="1:12" x14ac:dyDescent="0.3">
      <c r="A124" t="s">
        <v>774</v>
      </c>
      <c r="B124" t="s">
        <v>13</v>
      </c>
      <c r="C124" t="s">
        <v>775</v>
      </c>
      <c r="D124" t="s">
        <v>776</v>
      </c>
      <c r="E124" t="s">
        <v>777</v>
      </c>
      <c r="F124" t="s">
        <v>16</v>
      </c>
      <c r="G124" s="2">
        <v>44562</v>
      </c>
      <c r="H124">
        <v>2020</v>
      </c>
      <c r="I124" t="s">
        <v>100</v>
      </c>
      <c r="J124" t="s">
        <v>778</v>
      </c>
      <c r="K124" t="s">
        <v>779</v>
      </c>
      <c r="L124" t="s">
        <v>780</v>
      </c>
    </row>
    <row r="125" spans="1:12" x14ac:dyDescent="0.3">
      <c r="A125" t="s">
        <v>781</v>
      </c>
      <c r="B125" t="s">
        <v>22</v>
      </c>
      <c r="C125" t="s">
        <v>782</v>
      </c>
      <c r="D125" t="s">
        <v>2963</v>
      </c>
      <c r="E125" t="s">
        <v>783</v>
      </c>
      <c r="F125" t="s">
        <v>16</v>
      </c>
      <c r="G125" s="2">
        <v>44563</v>
      </c>
      <c r="H125">
        <v>2021</v>
      </c>
      <c r="I125" t="s">
        <v>26</v>
      </c>
      <c r="J125" t="s">
        <v>34</v>
      </c>
      <c r="K125" t="s">
        <v>784</v>
      </c>
      <c r="L125" t="s">
        <v>785</v>
      </c>
    </row>
    <row r="126" spans="1:12" x14ac:dyDescent="0.3">
      <c r="A126" t="s">
        <v>786</v>
      </c>
      <c r="B126" t="s">
        <v>13</v>
      </c>
      <c r="C126" t="s">
        <v>787</v>
      </c>
      <c r="D126" t="s">
        <v>788</v>
      </c>
      <c r="E126" t="s">
        <v>789</v>
      </c>
      <c r="F126" t="s">
        <v>16</v>
      </c>
      <c r="G126" s="2">
        <v>44564</v>
      </c>
      <c r="H126">
        <v>2021</v>
      </c>
      <c r="I126" t="s">
        <v>74</v>
      </c>
      <c r="J126" t="s">
        <v>300</v>
      </c>
      <c r="K126" t="s">
        <v>790</v>
      </c>
      <c r="L126" t="s">
        <v>791</v>
      </c>
    </row>
    <row r="127" spans="1:12" x14ac:dyDescent="0.3">
      <c r="A127" t="s">
        <v>792</v>
      </c>
      <c r="B127" t="s">
        <v>13</v>
      </c>
      <c r="C127" t="s">
        <v>793</v>
      </c>
      <c r="D127" t="s">
        <v>794</v>
      </c>
      <c r="E127" t="s">
        <v>795</v>
      </c>
      <c r="F127" t="s">
        <v>16</v>
      </c>
      <c r="G127" s="2">
        <v>44565</v>
      </c>
      <c r="H127">
        <v>1985</v>
      </c>
      <c r="I127" t="s">
        <v>26</v>
      </c>
      <c r="J127" t="s">
        <v>302</v>
      </c>
      <c r="K127" t="s">
        <v>796</v>
      </c>
      <c r="L127" t="s">
        <v>797</v>
      </c>
    </row>
    <row r="128" spans="1:12" x14ac:dyDescent="0.3">
      <c r="A128" t="s">
        <v>798</v>
      </c>
      <c r="B128" t="s">
        <v>13</v>
      </c>
      <c r="C128" t="s">
        <v>799</v>
      </c>
      <c r="D128" t="s">
        <v>800</v>
      </c>
      <c r="E128" t="s">
        <v>801</v>
      </c>
      <c r="F128" t="s">
        <v>16</v>
      </c>
      <c r="G128" s="2">
        <v>44566</v>
      </c>
      <c r="H128">
        <v>1993</v>
      </c>
      <c r="I128" t="s">
        <v>26</v>
      </c>
      <c r="J128" t="s">
        <v>243</v>
      </c>
      <c r="K128" t="s">
        <v>802</v>
      </c>
      <c r="L128" t="s">
        <v>803</v>
      </c>
    </row>
    <row r="129" spans="1:12" x14ac:dyDescent="0.3">
      <c r="A129" t="s">
        <v>804</v>
      </c>
      <c r="B129" t="s">
        <v>13</v>
      </c>
      <c r="C129" t="s">
        <v>805</v>
      </c>
      <c r="D129" t="s">
        <v>806</v>
      </c>
      <c r="E129" t="s">
        <v>807</v>
      </c>
      <c r="F129" t="s">
        <v>16</v>
      </c>
      <c r="G129" s="2">
        <v>44567</v>
      </c>
      <c r="H129">
        <v>2012</v>
      </c>
      <c r="I129" t="s">
        <v>26</v>
      </c>
      <c r="J129" t="s">
        <v>265</v>
      </c>
      <c r="K129" t="s">
        <v>808</v>
      </c>
      <c r="L129" t="s">
        <v>809</v>
      </c>
    </row>
    <row r="130" spans="1:12" x14ac:dyDescent="0.3">
      <c r="A130" t="s">
        <v>810</v>
      </c>
      <c r="B130" t="s">
        <v>22</v>
      </c>
      <c r="C130" t="s">
        <v>811</v>
      </c>
      <c r="D130" t="s">
        <v>812</v>
      </c>
      <c r="E130" t="s">
        <v>2963</v>
      </c>
      <c r="F130" t="s">
        <v>16</v>
      </c>
      <c r="G130" s="2">
        <v>44568</v>
      </c>
      <c r="H130">
        <v>2021</v>
      </c>
      <c r="I130" t="s">
        <v>26</v>
      </c>
      <c r="J130" t="s">
        <v>34</v>
      </c>
      <c r="K130" t="s">
        <v>813</v>
      </c>
      <c r="L130" t="s">
        <v>814</v>
      </c>
    </row>
    <row r="131" spans="1:12" x14ac:dyDescent="0.3">
      <c r="A131" t="s">
        <v>815</v>
      </c>
      <c r="B131" t="s">
        <v>13</v>
      </c>
      <c r="C131" t="s">
        <v>816</v>
      </c>
      <c r="D131" t="s">
        <v>817</v>
      </c>
      <c r="E131" t="s">
        <v>818</v>
      </c>
      <c r="F131" t="s">
        <v>16</v>
      </c>
      <c r="G131" s="2">
        <v>44569</v>
      </c>
      <c r="H131">
        <v>2009</v>
      </c>
      <c r="I131" t="s">
        <v>57</v>
      </c>
      <c r="J131" t="s">
        <v>18</v>
      </c>
      <c r="K131" t="s">
        <v>819</v>
      </c>
      <c r="L131" t="s">
        <v>820</v>
      </c>
    </row>
    <row r="132" spans="1:12" x14ac:dyDescent="0.3">
      <c r="A132" t="s">
        <v>821</v>
      </c>
      <c r="B132" t="s">
        <v>22</v>
      </c>
      <c r="C132" t="s">
        <v>822</v>
      </c>
      <c r="D132" t="s">
        <v>2963</v>
      </c>
      <c r="E132" t="s">
        <v>823</v>
      </c>
      <c r="F132" t="s">
        <v>16</v>
      </c>
      <c r="G132" s="2">
        <v>44570</v>
      </c>
      <c r="H132">
        <v>2020</v>
      </c>
      <c r="I132" t="s">
        <v>26</v>
      </c>
      <c r="J132" t="s">
        <v>34</v>
      </c>
      <c r="K132" t="s">
        <v>824</v>
      </c>
      <c r="L132" t="s">
        <v>825</v>
      </c>
    </row>
    <row r="133" spans="1:12" x14ac:dyDescent="0.3">
      <c r="A133" t="s">
        <v>826</v>
      </c>
      <c r="B133" t="s">
        <v>13</v>
      </c>
      <c r="C133" t="s">
        <v>827</v>
      </c>
      <c r="D133" t="s">
        <v>490</v>
      </c>
      <c r="E133" t="s">
        <v>828</v>
      </c>
      <c r="F133" t="s">
        <v>16</v>
      </c>
      <c r="G133" s="2">
        <v>44571</v>
      </c>
      <c r="H133">
        <v>1999</v>
      </c>
      <c r="I133" t="s">
        <v>264</v>
      </c>
      <c r="J133" t="s">
        <v>219</v>
      </c>
      <c r="K133" t="s">
        <v>829</v>
      </c>
      <c r="L133" t="s">
        <v>830</v>
      </c>
    </row>
    <row r="134" spans="1:12" x14ac:dyDescent="0.3">
      <c r="A134" t="s">
        <v>831</v>
      </c>
      <c r="B134" t="s">
        <v>13</v>
      </c>
      <c r="C134" t="s">
        <v>832</v>
      </c>
      <c r="D134" t="s">
        <v>833</v>
      </c>
      <c r="E134" t="s">
        <v>834</v>
      </c>
      <c r="F134" t="s">
        <v>16</v>
      </c>
      <c r="G134" s="2">
        <v>44572</v>
      </c>
      <c r="H134">
        <v>1986</v>
      </c>
      <c r="I134" t="s">
        <v>17</v>
      </c>
      <c r="J134" t="s">
        <v>174</v>
      </c>
      <c r="K134" t="s">
        <v>835</v>
      </c>
      <c r="L134" t="s">
        <v>836</v>
      </c>
    </row>
    <row r="135" spans="1:12" x14ac:dyDescent="0.3">
      <c r="A135" t="s">
        <v>837</v>
      </c>
      <c r="B135" t="s">
        <v>22</v>
      </c>
      <c r="C135" t="s">
        <v>838</v>
      </c>
      <c r="D135" t="s">
        <v>2963</v>
      </c>
      <c r="E135" t="s">
        <v>839</v>
      </c>
      <c r="F135" t="s">
        <v>16</v>
      </c>
      <c r="G135" s="2">
        <v>44573</v>
      </c>
      <c r="H135">
        <v>2010</v>
      </c>
      <c r="I135" t="s">
        <v>74</v>
      </c>
      <c r="J135" t="s">
        <v>139</v>
      </c>
      <c r="K135" t="s">
        <v>840</v>
      </c>
      <c r="L135" t="s">
        <v>841</v>
      </c>
    </row>
    <row r="136" spans="1:12" x14ac:dyDescent="0.3">
      <c r="A136" t="s">
        <v>842</v>
      </c>
      <c r="B136" t="s">
        <v>13</v>
      </c>
      <c r="C136" t="s">
        <v>843</v>
      </c>
      <c r="D136" t="s">
        <v>844</v>
      </c>
      <c r="E136" t="s">
        <v>845</v>
      </c>
      <c r="F136" t="s">
        <v>16</v>
      </c>
      <c r="G136" s="2">
        <v>44574</v>
      </c>
      <c r="H136">
        <v>2010</v>
      </c>
      <c r="I136" t="s">
        <v>17</v>
      </c>
      <c r="J136" t="s">
        <v>846</v>
      </c>
      <c r="K136" t="s">
        <v>847</v>
      </c>
      <c r="L136" t="s">
        <v>848</v>
      </c>
    </row>
    <row r="137" spans="1:12" x14ac:dyDescent="0.3">
      <c r="A137" t="s">
        <v>850</v>
      </c>
      <c r="B137" t="s">
        <v>13</v>
      </c>
      <c r="C137" t="s">
        <v>851</v>
      </c>
      <c r="D137" t="s">
        <v>849</v>
      </c>
      <c r="E137" t="s">
        <v>852</v>
      </c>
      <c r="F137" t="s">
        <v>16</v>
      </c>
      <c r="G137" s="2">
        <v>44575</v>
      </c>
      <c r="H137">
        <v>1994</v>
      </c>
      <c r="I137" t="s">
        <v>57</v>
      </c>
      <c r="J137" t="s">
        <v>289</v>
      </c>
      <c r="K137" t="s">
        <v>853</v>
      </c>
      <c r="L137" t="s">
        <v>854</v>
      </c>
    </row>
    <row r="138" spans="1:12" x14ac:dyDescent="0.3">
      <c r="A138" t="s">
        <v>855</v>
      </c>
      <c r="B138" t="s">
        <v>13</v>
      </c>
      <c r="C138" t="s">
        <v>856</v>
      </c>
      <c r="D138" t="s">
        <v>857</v>
      </c>
      <c r="E138" t="s">
        <v>858</v>
      </c>
      <c r="F138" t="s">
        <v>16</v>
      </c>
      <c r="G138" s="2">
        <v>44576</v>
      </c>
      <c r="H138">
        <v>2003</v>
      </c>
      <c r="I138" t="s">
        <v>17</v>
      </c>
      <c r="J138" t="s">
        <v>859</v>
      </c>
      <c r="K138" t="s">
        <v>860</v>
      </c>
      <c r="L138" t="s">
        <v>861</v>
      </c>
    </row>
    <row r="139" spans="1:12" x14ac:dyDescent="0.3">
      <c r="A139" t="s">
        <v>862</v>
      </c>
      <c r="B139" t="s">
        <v>13</v>
      </c>
      <c r="C139" t="s">
        <v>863</v>
      </c>
      <c r="D139" t="s">
        <v>864</v>
      </c>
      <c r="E139" t="s">
        <v>865</v>
      </c>
      <c r="F139" t="s">
        <v>16</v>
      </c>
      <c r="G139" s="2">
        <v>44577</v>
      </c>
      <c r="H139">
        <v>2000</v>
      </c>
      <c r="I139" t="s">
        <v>17</v>
      </c>
      <c r="J139" t="s">
        <v>866</v>
      </c>
      <c r="K139" t="s">
        <v>867</v>
      </c>
      <c r="L139" t="s">
        <v>868</v>
      </c>
    </row>
    <row r="140" spans="1:12" x14ac:dyDescent="0.3">
      <c r="A140" t="s">
        <v>869</v>
      </c>
      <c r="B140" t="s">
        <v>13</v>
      </c>
      <c r="C140" t="s">
        <v>870</v>
      </c>
      <c r="D140" t="s">
        <v>871</v>
      </c>
      <c r="E140" t="s">
        <v>872</v>
      </c>
      <c r="F140" t="s">
        <v>16</v>
      </c>
      <c r="G140" s="2">
        <v>44578</v>
      </c>
      <c r="H140">
        <v>2004</v>
      </c>
      <c r="I140" t="s">
        <v>264</v>
      </c>
      <c r="J140" t="s">
        <v>257</v>
      </c>
      <c r="K140" t="s">
        <v>873</v>
      </c>
      <c r="L140" t="s">
        <v>874</v>
      </c>
    </row>
    <row r="141" spans="1:12" x14ac:dyDescent="0.3">
      <c r="A141" t="s">
        <v>875</v>
      </c>
      <c r="B141" t="s">
        <v>13</v>
      </c>
      <c r="C141" t="s">
        <v>876</v>
      </c>
      <c r="D141" t="s">
        <v>667</v>
      </c>
      <c r="E141" t="s">
        <v>877</v>
      </c>
      <c r="F141" t="s">
        <v>16</v>
      </c>
      <c r="G141" s="2">
        <v>44579</v>
      </c>
      <c r="H141">
        <v>2004</v>
      </c>
      <c r="I141" t="s">
        <v>264</v>
      </c>
      <c r="J141" t="s">
        <v>300</v>
      </c>
      <c r="K141" t="s">
        <v>878</v>
      </c>
      <c r="L141" t="s">
        <v>879</v>
      </c>
    </row>
    <row r="142" spans="1:12" x14ac:dyDescent="0.3">
      <c r="A142" t="s">
        <v>880</v>
      </c>
      <c r="B142" t="s">
        <v>22</v>
      </c>
      <c r="C142" t="s">
        <v>881</v>
      </c>
      <c r="D142" t="s">
        <v>2963</v>
      </c>
      <c r="E142" t="s">
        <v>882</v>
      </c>
      <c r="F142" t="s">
        <v>16</v>
      </c>
      <c r="G142" s="2">
        <v>44580</v>
      </c>
      <c r="H142">
        <v>2021</v>
      </c>
      <c r="I142" t="s">
        <v>74</v>
      </c>
      <c r="J142" t="s">
        <v>194</v>
      </c>
      <c r="K142" t="s">
        <v>883</v>
      </c>
      <c r="L142" t="s">
        <v>884</v>
      </c>
    </row>
    <row r="143" spans="1:12" x14ac:dyDescent="0.3">
      <c r="A143" t="s">
        <v>885</v>
      </c>
      <c r="B143" t="s">
        <v>13</v>
      </c>
      <c r="C143" t="s">
        <v>886</v>
      </c>
      <c r="D143" t="s">
        <v>887</v>
      </c>
      <c r="E143" t="s">
        <v>888</v>
      </c>
      <c r="F143" t="s">
        <v>16</v>
      </c>
      <c r="G143" s="2">
        <v>44581</v>
      </c>
      <c r="H143">
        <v>2021</v>
      </c>
      <c r="I143" t="s">
        <v>264</v>
      </c>
      <c r="J143" t="s">
        <v>458</v>
      </c>
      <c r="K143" t="s">
        <v>889</v>
      </c>
      <c r="L143" t="s">
        <v>890</v>
      </c>
    </row>
    <row r="144" spans="1:12" x14ac:dyDescent="0.3">
      <c r="A144" t="s">
        <v>891</v>
      </c>
      <c r="B144" t="s">
        <v>22</v>
      </c>
      <c r="C144" t="s">
        <v>892</v>
      </c>
      <c r="D144" t="s">
        <v>2963</v>
      </c>
      <c r="E144" t="s">
        <v>2963</v>
      </c>
      <c r="F144" t="s">
        <v>16</v>
      </c>
      <c r="G144" s="2">
        <v>44582</v>
      </c>
      <c r="H144">
        <v>2021</v>
      </c>
      <c r="I144" t="s">
        <v>74</v>
      </c>
      <c r="J144" t="s">
        <v>194</v>
      </c>
      <c r="K144" t="s">
        <v>893</v>
      </c>
      <c r="L144" t="s">
        <v>894</v>
      </c>
    </row>
    <row r="145" spans="1:12" x14ac:dyDescent="0.3">
      <c r="A145" t="s">
        <v>895</v>
      </c>
      <c r="B145" t="s">
        <v>22</v>
      </c>
      <c r="C145" t="s">
        <v>896</v>
      </c>
      <c r="D145" t="s">
        <v>2963</v>
      </c>
      <c r="E145" t="s">
        <v>897</v>
      </c>
      <c r="F145" t="s">
        <v>16</v>
      </c>
      <c r="G145" s="2">
        <v>44583</v>
      </c>
      <c r="H145">
        <v>2021</v>
      </c>
      <c r="I145" t="s">
        <v>26</v>
      </c>
      <c r="J145" t="s">
        <v>27</v>
      </c>
      <c r="K145" t="s">
        <v>898</v>
      </c>
      <c r="L145" t="s">
        <v>899</v>
      </c>
    </row>
    <row r="146" spans="1:12" x14ac:dyDescent="0.3">
      <c r="A146" t="s">
        <v>900</v>
      </c>
      <c r="B146" t="s">
        <v>22</v>
      </c>
      <c r="C146" t="s">
        <v>901</v>
      </c>
      <c r="D146" t="s">
        <v>2963</v>
      </c>
      <c r="E146" t="s">
        <v>902</v>
      </c>
      <c r="F146" t="s">
        <v>16</v>
      </c>
      <c r="G146" s="2">
        <v>44584</v>
      </c>
      <c r="H146">
        <v>2021</v>
      </c>
      <c r="I146" t="s">
        <v>205</v>
      </c>
      <c r="J146" t="s">
        <v>34</v>
      </c>
      <c r="K146" t="s">
        <v>903</v>
      </c>
      <c r="L146" t="s">
        <v>904</v>
      </c>
    </row>
    <row r="147" spans="1:12" x14ac:dyDescent="0.3">
      <c r="A147" t="s">
        <v>906</v>
      </c>
      <c r="B147" t="s">
        <v>22</v>
      </c>
      <c r="C147" t="s">
        <v>907</v>
      </c>
      <c r="D147" t="s">
        <v>908</v>
      </c>
      <c r="E147" t="s">
        <v>909</v>
      </c>
      <c r="F147" t="s">
        <v>16</v>
      </c>
      <c r="G147" s="2">
        <v>44585</v>
      </c>
      <c r="H147">
        <v>2021</v>
      </c>
      <c r="I147" t="s">
        <v>74</v>
      </c>
      <c r="J147" t="s">
        <v>743</v>
      </c>
      <c r="K147" t="s">
        <v>910</v>
      </c>
      <c r="L147" t="s">
        <v>911</v>
      </c>
    </row>
    <row r="148" spans="1:12" x14ac:dyDescent="0.3">
      <c r="A148" t="s">
        <v>912</v>
      </c>
      <c r="B148" t="s">
        <v>22</v>
      </c>
      <c r="C148" t="s">
        <v>913</v>
      </c>
      <c r="D148" t="s">
        <v>2963</v>
      </c>
      <c r="E148" t="s">
        <v>914</v>
      </c>
      <c r="F148" t="s">
        <v>16</v>
      </c>
      <c r="G148" s="2">
        <v>44586</v>
      </c>
      <c r="H148">
        <v>2021</v>
      </c>
      <c r="I148" t="s">
        <v>26</v>
      </c>
      <c r="J148" t="s">
        <v>194</v>
      </c>
      <c r="K148" t="s">
        <v>915</v>
      </c>
      <c r="L148" t="s">
        <v>916</v>
      </c>
    </row>
    <row r="149" spans="1:12" x14ac:dyDescent="0.3">
      <c r="A149" t="s">
        <v>918</v>
      </c>
      <c r="B149" t="s">
        <v>22</v>
      </c>
      <c r="C149" t="s">
        <v>919</v>
      </c>
      <c r="D149" t="s">
        <v>920</v>
      </c>
      <c r="E149" t="s">
        <v>921</v>
      </c>
      <c r="F149" t="s">
        <v>16</v>
      </c>
      <c r="G149" s="2">
        <v>44587</v>
      </c>
      <c r="H149">
        <v>2021</v>
      </c>
      <c r="I149" t="s">
        <v>26</v>
      </c>
      <c r="J149" t="s">
        <v>34</v>
      </c>
      <c r="K149" t="s">
        <v>922</v>
      </c>
      <c r="L149" t="s">
        <v>923</v>
      </c>
    </row>
    <row r="150" spans="1:12" x14ac:dyDescent="0.3">
      <c r="A150" t="s">
        <v>924</v>
      </c>
      <c r="B150" t="s">
        <v>22</v>
      </c>
      <c r="C150" t="s">
        <v>925</v>
      </c>
      <c r="D150" t="s">
        <v>2963</v>
      </c>
      <c r="E150" t="s">
        <v>926</v>
      </c>
      <c r="F150" t="s">
        <v>16</v>
      </c>
      <c r="G150" s="2">
        <v>44588</v>
      </c>
      <c r="H150">
        <v>2019</v>
      </c>
      <c r="I150" t="s">
        <v>26</v>
      </c>
      <c r="J150" t="s">
        <v>927</v>
      </c>
      <c r="K150" t="s">
        <v>928</v>
      </c>
      <c r="L150" t="s">
        <v>929</v>
      </c>
    </row>
    <row r="151" spans="1:12" x14ac:dyDescent="0.3">
      <c r="A151" t="s">
        <v>930</v>
      </c>
      <c r="B151" t="s">
        <v>13</v>
      </c>
      <c r="C151" t="s">
        <v>931</v>
      </c>
      <c r="D151" t="s">
        <v>932</v>
      </c>
      <c r="E151" t="s">
        <v>933</v>
      </c>
      <c r="F151" t="s">
        <v>16</v>
      </c>
      <c r="G151" s="2">
        <v>44589</v>
      </c>
      <c r="H151">
        <v>2021</v>
      </c>
      <c r="I151" t="s">
        <v>57</v>
      </c>
      <c r="J151" t="s">
        <v>58</v>
      </c>
      <c r="K151" t="s">
        <v>934</v>
      </c>
      <c r="L151" t="s">
        <v>935</v>
      </c>
    </row>
    <row r="152" spans="1:12" x14ac:dyDescent="0.3">
      <c r="A152" t="s">
        <v>936</v>
      </c>
      <c r="B152" t="s">
        <v>22</v>
      </c>
      <c r="C152" t="s">
        <v>937</v>
      </c>
      <c r="D152" t="s">
        <v>2963</v>
      </c>
      <c r="E152" t="s">
        <v>938</v>
      </c>
      <c r="F152" t="s">
        <v>16</v>
      </c>
      <c r="G152" s="2">
        <v>44590</v>
      </c>
      <c r="H152">
        <v>2021</v>
      </c>
      <c r="I152" t="s">
        <v>100</v>
      </c>
      <c r="J152" t="s">
        <v>34</v>
      </c>
      <c r="K152" t="s">
        <v>939</v>
      </c>
      <c r="L152" t="s">
        <v>940</v>
      </c>
    </row>
    <row r="153" spans="1:12" x14ac:dyDescent="0.3">
      <c r="A153" t="s">
        <v>941</v>
      </c>
      <c r="B153" t="s">
        <v>22</v>
      </c>
      <c r="C153" t="s">
        <v>942</v>
      </c>
      <c r="D153" t="s">
        <v>2963</v>
      </c>
      <c r="E153" t="s">
        <v>943</v>
      </c>
      <c r="F153" t="s">
        <v>16</v>
      </c>
      <c r="G153" s="2">
        <v>44591</v>
      </c>
      <c r="H153">
        <v>2021</v>
      </c>
      <c r="I153" t="s">
        <v>100</v>
      </c>
      <c r="J153" t="s">
        <v>34</v>
      </c>
      <c r="K153" t="s">
        <v>944</v>
      </c>
      <c r="L153" t="s">
        <v>945</v>
      </c>
    </row>
    <row r="154" spans="1:12" x14ac:dyDescent="0.3">
      <c r="A154" t="s">
        <v>946</v>
      </c>
      <c r="B154" t="s">
        <v>22</v>
      </c>
      <c r="C154" t="s">
        <v>947</v>
      </c>
      <c r="D154" t="s">
        <v>2963</v>
      </c>
      <c r="E154" t="s">
        <v>948</v>
      </c>
      <c r="F154" t="s">
        <v>16</v>
      </c>
      <c r="G154" s="2">
        <v>44592</v>
      </c>
      <c r="H154">
        <v>2019</v>
      </c>
      <c r="I154" t="s">
        <v>74</v>
      </c>
      <c r="J154" t="s">
        <v>139</v>
      </c>
      <c r="K154" t="s">
        <v>949</v>
      </c>
      <c r="L154" t="s">
        <v>950</v>
      </c>
    </row>
    <row r="155" spans="1:12" x14ac:dyDescent="0.3">
      <c r="A155" t="s">
        <v>951</v>
      </c>
      <c r="B155" t="s">
        <v>13</v>
      </c>
      <c r="C155" t="s">
        <v>952</v>
      </c>
      <c r="D155" t="s">
        <v>953</v>
      </c>
      <c r="E155" t="s">
        <v>954</v>
      </c>
      <c r="F155" t="s">
        <v>16</v>
      </c>
      <c r="G155" s="2">
        <v>44593</v>
      </c>
      <c r="H155">
        <v>2021</v>
      </c>
      <c r="I155" t="s">
        <v>307</v>
      </c>
      <c r="J155" t="s">
        <v>360</v>
      </c>
      <c r="K155" t="s">
        <v>955</v>
      </c>
      <c r="L155" t="s">
        <v>956</v>
      </c>
    </row>
    <row r="156" spans="1:12" x14ac:dyDescent="0.3">
      <c r="A156" t="s">
        <v>957</v>
      </c>
      <c r="B156" t="s">
        <v>22</v>
      </c>
      <c r="C156" t="s">
        <v>958</v>
      </c>
      <c r="D156" t="s">
        <v>2963</v>
      </c>
      <c r="E156" t="s">
        <v>959</v>
      </c>
      <c r="F156" t="s">
        <v>16</v>
      </c>
      <c r="G156" s="2">
        <v>44594</v>
      </c>
      <c r="H156">
        <v>2020</v>
      </c>
      <c r="I156" t="s">
        <v>26</v>
      </c>
      <c r="J156" t="s">
        <v>34</v>
      </c>
      <c r="K156" t="s">
        <v>960</v>
      </c>
      <c r="L156" t="s">
        <v>961</v>
      </c>
    </row>
    <row r="157" spans="1:12" x14ac:dyDescent="0.3">
      <c r="A157" t="s">
        <v>962</v>
      </c>
      <c r="B157" t="s">
        <v>22</v>
      </c>
      <c r="C157" t="s">
        <v>963</v>
      </c>
      <c r="D157" t="s">
        <v>2963</v>
      </c>
      <c r="E157" t="s">
        <v>964</v>
      </c>
      <c r="F157" t="s">
        <v>16</v>
      </c>
      <c r="G157" s="2">
        <v>44595</v>
      </c>
      <c r="H157">
        <v>2019</v>
      </c>
      <c r="I157" t="s">
        <v>26</v>
      </c>
      <c r="J157" t="s">
        <v>34</v>
      </c>
      <c r="K157" t="s">
        <v>965</v>
      </c>
      <c r="L157" t="s">
        <v>966</v>
      </c>
    </row>
    <row r="158" spans="1:12" x14ac:dyDescent="0.3">
      <c r="A158" t="s">
        <v>967</v>
      </c>
      <c r="B158" t="s">
        <v>13</v>
      </c>
      <c r="C158" t="s">
        <v>968</v>
      </c>
      <c r="D158" t="s">
        <v>969</v>
      </c>
      <c r="E158" t="s">
        <v>970</v>
      </c>
      <c r="F158" t="s">
        <v>16</v>
      </c>
      <c r="G158" s="2">
        <v>44596</v>
      </c>
      <c r="H158">
        <v>2021</v>
      </c>
      <c r="I158" t="s">
        <v>264</v>
      </c>
      <c r="J158" t="s">
        <v>455</v>
      </c>
      <c r="K158" t="s">
        <v>971</v>
      </c>
      <c r="L158" t="s">
        <v>972</v>
      </c>
    </row>
    <row r="159" spans="1:12" x14ac:dyDescent="0.3">
      <c r="A159" t="s">
        <v>973</v>
      </c>
      <c r="B159" t="s">
        <v>13</v>
      </c>
      <c r="C159" t="s">
        <v>974</v>
      </c>
      <c r="D159" t="s">
        <v>975</v>
      </c>
      <c r="E159" t="s">
        <v>976</v>
      </c>
      <c r="F159" t="s">
        <v>16</v>
      </c>
      <c r="G159" s="2">
        <v>44597</v>
      </c>
      <c r="H159">
        <v>2008</v>
      </c>
      <c r="I159" t="s">
        <v>17</v>
      </c>
      <c r="J159" t="s">
        <v>272</v>
      </c>
      <c r="K159" t="s">
        <v>977</v>
      </c>
      <c r="L159" t="s">
        <v>978</v>
      </c>
    </row>
    <row r="160" spans="1:12" x14ac:dyDescent="0.3">
      <c r="A160" t="s">
        <v>979</v>
      </c>
      <c r="B160" t="s">
        <v>13</v>
      </c>
      <c r="C160" t="s">
        <v>980</v>
      </c>
      <c r="D160" t="s">
        <v>981</v>
      </c>
      <c r="E160" t="s">
        <v>982</v>
      </c>
      <c r="F160" t="s">
        <v>16</v>
      </c>
      <c r="G160" s="2">
        <v>44598</v>
      </c>
      <c r="H160">
        <v>2021</v>
      </c>
      <c r="I160" t="s">
        <v>26</v>
      </c>
      <c r="J160" t="s">
        <v>293</v>
      </c>
      <c r="K160" t="s">
        <v>983</v>
      </c>
      <c r="L160" t="s">
        <v>984</v>
      </c>
    </row>
    <row r="161" spans="1:12" x14ac:dyDescent="0.3">
      <c r="A161" t="s">
        <v>985</v>
      </c>
      <c r="B161" t="s">
        <v>22</v>
      </c>
      <c r="C161" t="s">
        <v>986</v>
      </c>
      <c r="D161" t="s">
        <v>2963</v>
      </c>
      <c r="E161" t="s">
        <v>987</v>
      </c>
      <c r="F161" t="s">
        <v>16</v>
      </c>
      <c r="G161" s="2">
        <v>44599</v>
      </c>
      <c r="H161">
        <v>2021</v>
      </c>
      <c r="I161" t="s">
        <v>74</v>
      </c>
      <c r="J161" t="s">
        <v>27</v>
      </c>
      <c r="K161" t="s">
        <v>988</v>
      </c>
      <c r="L161" t="s">
        <v>989</v>
      </c>
    </row>
    <row r="162" spans="1:12" x14ac:dyDescent="0.3">
      <c r="A162" t="s">
        <v>990</v>
      </c>
      <c r="B162" t="s">
        <v>13</v>
      </c>
      <c r="C162" t="s">
        <v>991</v>
      </c>
      <c r="D162" t="s">
        <v>992</v>
      </c>
      <c r="E162" t="s">
        <v>993</v>
      </c>
      <c r="F162" t="s">
        <v>16</v>
      </c>
      <c r="G162" s="2">
        <v>44600</v>
      </c>
      <c r="H162">
        <v>2007</v>
      </c>
      <c r="I162" t="s">
        <v>57</v>
      </c>
      <c r="J162" t="s">
        <v>559</v>
      </c>
      <c r="K162" t="s">
        <v>994</v>
      </c>
      <c r="L162" t="s">
        <v>995</v>
      </c>
    </row>
    <row r="163" spans="1:12" x14ac:dyDescent="0.3">
      <c r="A163" t="s">
        <v>996</v>
      </c>
      <c r="B163" t="s">
        <v>13</v>
      </c>
      <c r="C163" t="s">
        <v>997</v>
      </c>
      <c r="D163" t="s">
        <v>998</v>
      </c>
      <c r="E163" t="s">
        <v>999</v>
      </c>
      <c r="F163" t="s">
        <v>16</v>
      </c>
      <c r="G163" s="2">
        <v>44601</v>
      </c>
      <c r="H163">
        <v>2021</v>
      </c>
      <c r="I163" t="s">
        <v>100</v>
      </c>
      <c r="J163" t="s">
        <v>212</v>
      </c>
      <c r="K163" t="s">
        <v>1000</v>
      </c>
      <c r="L163" t="s">
        <v>1001</v>
      </c>
    </row>
    <row r="164" spans="1:12" x14ac:dyDescent="0.3">
      <c r="A164" t="s">
        <v>1002</v>
      </c>
      <c r="B164" t="s">
        <v>13</v>
      </c>
      <c r="C164" t="s">
        <v>1003</v>
      </c>
      <c r="D164" t="s">
        <v>1004</v>
      </c>
      <c r="E164" t="s">
        <v>1005</v>
      </c>
      <c r="F164" t="s">
        <v>16</v>
      </c>
      <c r="G164" s="2">
        <v>44602</v>
      </c>
      <c r="H164">
        <v>2016</v>
      </c>
      <c r="I164" t="s">
        <v>26</v>
      </c>
      <c r="J164" t="s">
        <v>301</v>
      </c>
      <c r="K164" t="s">
        <v>1006</v>
      </c>
      <c r="L164" t="s">
        <v>1007</v>
      </c>
    </row>
    <row r="165" spans="1:12" x14ac:dyDescent="0.3">
      <c r="A165" t="s">
        <v>1009</v>
      </c>
      <c r="B165" t="s">
        <v>22</v>
      </c>
      <c r="C165" t="s">
        <v>1010</v>
      </c>
      <c r="D165" t="s">
        <v>2963</v>
      </c>
      <c r="E165" t="s">
        <v>1011</v>
      </c>
      <c r="F165" t="s">
        <v>16</v>
      </c>
      <c r="G165" s="2">
        <v>44603</v>
      </c>
      <c r="H165">
        <v>2021</v>
      </c>
      <c r="I165" t="s">
        <v>74</v>
      </c>
      <c r="J165" t="s">
        <v>194</v>
      </c>
      <c r="K165" t="s">
        <v>1012</v>
      </c>
      <c r="L165" t="s">
        <v>1013</v>
      </c>
    </row>
    <row r="166" spans="1:12" x14ac:dyDescent="0.3">
      <c r="A166" t="s">
        <v>1014</v>
      </c>
      <c r="B166" t="s">
        <v>22</v>
      </c>
      <c r="C166" t="s">
        <v>1015</v>
      </c>
      <c r="D166" t="s">
        <v>2963</v>
      </c>
      <c r="E166" t="s">
        <v>1016</v>
      </c>
      <c r="F166" t="s">
        <v>16</v>
      </c>
      <c r="G166" s="2">
        <v>44604</v>
      </c>
      <c r="H166">
        <v>2021</v>
      </c>
      <c r="I166" t="s">
        <v>26</v>
      </c>
      <c r="J166" t="s">
        <v>34</v>
      </c>
      <c r="K166" t="s">
        <v>1017</v>
      </c>
      <c r="L166" t="s">
        <v>1018</v>
      </c>
    </row>
    <row r="167" spans="1:12" x14ac:dyDescent="0.3">
      <c r="A167" t="s">
        <v>1019</v>
      </c>
      <c r="B167" t="s">
        <v>13</v>
      </c>
      <c r="C167" t="s">
        <v>1020</v>
      </c>
      <c r="D167" t="s">
        <v>1021</v>
      </c>
      <c r="E167" t="s">
        <v>1022</v>
      </c>
      <c r="F167" t="s">
        <v>16</v>
      </c>
      <c r="G167" s="2">
        <v>44605</v>
      </c>
      <c r="H167">
        <v>2021</v>
      </c>
      <c r="I167" t="s">
        <v>307</v>
      </c>
      <c r="J167" t="s">
        <v>380</v>
      </c>
      <c r="K167" t="s">
        <v>1023</v>
      </c>
      <c r="L167" t="s">
        <v>1024</v>
      </c>
    </row>
    <row r="168" spans="1:12" x14ac:dyDescent="0.3">
      <c r="A168" t="s">
        <v>1025</v>
      </c>
      <c r="B168" t="s">
        <v>22</v>
      </c>
      <c r="C168" t="s">
        <v>1026</v>
      </c>
      <c r="D168" t="s">
        <v>2963</v>
      </c>
      <c r="E168" t="s">
        <v>1027</v>
      </c>
      <c r="F168" t="s">
        <v>16</v>
      </c>
      <c r="G168" s="2">
        <v>44606</v>
      </c>
      <c r="H168">
        <v>2018</v>
      </c>
      <c r="I168" t="s">
        <v>74</v>
      </c>
      <c r="J168" t="s">
        <v>194</v>
      </c>
      <c r="K168" t="s">
        <v>1028</v>
      </c>
      <c r="L168" t="s">
        <v>1029</v>
      </c>
    </row>
    <row r="169" spans="1:12" x14ac:dyDescent="0.3">
      <c r="A169" t="s">
        <v>1031</v>
      </c>
      <c r="B169" t="s">
        <v>22</v>
      </c>
      <c r="C169" t="s">
        <v>1032</v>
      </c>
      <c r="D169" t="s">
        <v>2963</v>
      </c>
      <c r="E169" t="s">
        <v>2963</v>
      </c>
      <c r="F169" t="s">
        <v>16</v>
      </c>
      <c r="G169" s="2">
        <v>44607</v>
      </c>
      <c r="H169">
        <v>2015</v>
      </c>
      <c r="I169" t="s">
        <v>205</v>
      </c>
      <c r="J169" t="s">
        <v>194</v>
      </c>
      <c r="K169" t="s">
        <v>1033</v>
      </c>
      <c r="L169" t="s">
        <v>1034</v>
      </c>
    </row>
    <row r="170" spans="1:12" x14ac:dyDescent="0.3">
      <c r="A170" t="s">
        <v>1035</v>
      </c>
      <c r="B170" t="s">
        <v>22</v>
      </c>
      <c r="C170" t="s">
        <v>1036</v>
      </c>
      <c r="D170" t="s">
        <v>2963</v>
      </c>
      <c r="E170" t="s">
        <v>1037</v>
      </c>
      <c r="F170" t="s">
        <v>16</v>
      </c>
      <c r="G170" s="2">
        <v>44608</v>
      </c>
      <c r="H170">
        <v>2019</v>
      </c>
      <c r="I170" t="s">
        <v>26</v>
      </c>
      <c r="J170" t="s">
        <v>194</v>
      </c>
      <c r="K170" t="s">
        <v>1038</v>
      </c>
      <c r="L170" t="s">
        <v>1039</v>
      </c>
    </row>
    <row r="171" spans="1:12" x14ac:dyDescent="0.3">
      <c r="A171" t="s">
        <v>1041</v>
      </c>
      <c r="B171" t="s">
        <v>22</v>
      </c>
      <c r="C171" t="s">
        <v>1042</v>
      </c>
      <c r="D171" t="s">
        <v>2963</v>
      </c>
      <c r="E171" t="s">
        <v>1043</v>
      </c>
      <c r="F171" t="s">
        <v>16</v>
      </c>
      <c r="G171" s="2">
        <v>44609</v>
      </c>
      <c r="H171">
        <v>2019</v>
      </c>
      <c r="I171" t="s">
        <v>26</v>
      </c>
      <c r="J171" t="s">
        <v>194</v>
      </c>
      <c r="K171" t="s">
        <v>1044</v>
      </c>
      <c r="L171" t="s">
        <v>1045</v>
      </c>
    </row>
    <row r="172" spans="1:12" x14ac:dyDescent="0.3">
      <c r="A172" t="s">
        <v>1046</v>
      </c>
      <c r="B172" t="s">
        <v>22</v>
      </c>
      <c r="C172" t="s">
        <v>1047</v>
      </c>
      <c r="D172" t="s">
        <v>2963</v>
      </c>
      <c r="E172" t="s">
        <v>1048</v>
      </c>
      <c r="F172" t="s">
        <v>16</v>
      </c>
      <c r="G172" s="2">
        <v>44610</v>
      </c>
      <c r="H172">
        <v>2018</v>
      </c>
      <c r="I172" t="s">
        <v>74</v>
      </c>
      <c r="J172" t="s">
        <v>194</v>
      </c>
      <c r="K172" t="s">
        <v>1049</v>
      </c>
      <c r="L172" t="s">
        <v>1050</v>
      </c>
    </row>
    <row r="173" spans="1:12" x14ac:dyDescent="0.3">
      <c r="A173" t="s">
        <v>1051</v>
      </c>
      <c r="B173" t="s">
        <v>22</v>
      </c>
      <c r="C173" t="s">
        <v>1052</v>
      </c>
      <c r="D173" t="s">
        <v>2963</v>
      </c>
      <c r="E173" t="s">
        <v>1053</v>
      </c>
      <c r="F173" t="s">
        <v>16</v>
      </c>
      <c r="G173" s="2">
        <v>44611</v>
      </c>
      <c r="H173">
        <v>2021</v>
      </c>
      <c r="I173" t="s">
        <v>100</v>
      </c>
      <c r="J173" t="s">
        <v>27</v>
      </c>
      <c r="K173" t="s">
        <v>1054</v>
      </c>
      <c r="L173" t="s">
        <v>1055</v>
      </c>
    </row>
    <row r="174" spans="1:12" x14ac:dyDescent="0.3">
      <c r="A174" t="s">
        <v>1056</v>
      </c>
      <c r="B174" t="s">
        <v>22</v>
      </c>
      <c r="C174" t="s">
        <v>1057</v>
      </c>
      <c r="D174" t="s">
        <v>2963</v>
      </c>
      <c r="E174" t="s">
        <v>1058</v>
      </c>
      <c r="F174" t="s">
        <v>16</v>
      </c>
      <c r="G174" s="2">
        <v>44612</v>
      </c>
      <c r="H174">
        <v>2020</v>
      </c>
      <c r="I174" t="s">
        <v>100</v>
      </c>
      <c r="J174" t="s">
        <v>27</v>
      </c>
      <c r="K174" t="s">
        <v>1059</v>
      </c>
      <c r="L174" t="s">
        <v>1060</v>
      </c>
    </row>
    <row r="175" spans="1:12" x14ac:dyDescent="0.3">
      <c r="A175" t="s">
        <v>1061</v>
      </c>
      <c r="B175" t="s">
        <v>13</v>
      </c>
      <c r="C175" t="s">
        <v>1062</v>
      </c>
      <c r="D175" t="s">
        <v>1063</v>
      </c>
      <c r="E175" t="s">
        <v>1064</v>
      </c>
      <c r="F175" t="s">
        <v>16</v>
      </c>
      <c r="G175" s="2">
        <v>44613</v>
      </c>
      <c r="H175">
        <v>2021</v>
      </c>
      <c r="I175" t="s">
        <v>26</v>
      </c>
      <c r="J175" t="s">
        <v>634</v>
      </c>
      <c r="K175" t="s">
        <v>1065</v>
      </c>
      <c r="L175" t="s">
        <v>1066</v>
      </c>
    </row>
    <row r="176" spans="1:12" x14ac:dyDescent="0.3">
      <c r="A176" t="s">
        <v>1067</v>
      </c>
      <c r="B176" t="s">
        <v>13</v>
      </c>
      <c r="C176" t="s">
        <v>1068</v>
      </c>
      <c r="D176" t="s">
        <v>1069</v>
      </c>
      <c r="E176" t="s">
        <v>1070</v>
      </c>
      <c r="F176" t="s">
        <v>16</v>
      </c>
      <c r="G176" s="2">
        <v>44614</v>
      </c>
      <c r="H176">
        <v>2013</v>
      </c>
      <c r="I176" t="s">
        <v>264</v>
      </c>
      <c r="J176" t="s">
        <v>1071</v>
      </c>
      <c r="K176" t="s">
        <v>1072</v>
      </c>
      <c r="L176" t="s">
        <v>1073</v>
      </c>
    </row>
    <row r="177" spans="1:12" x14ac:dyDescent="0.3">
      <c r="A177" t="s">
        <v>1075</v>
      </c>
      <c r="B177" t="s">
        <v>13</v>
      </c>
      <c r="C177" t="s">
        <v>1076</v>
      </c>
      <c r="D177" t="s">
        <v>1074</v>
      </c>
      <c r="E177" t="s">
        <v>1077</v>
      </c>
      <c r="F177" t="s">
        <v>16</v>
      </c>
      <c r="G177" s="2">
        <v>44615</v>
      </c>
      <c r="H177">
        <v>1999</v>
      </c>
      <c r="I177" t="s">
        <v>17</v>
      </c>
      <c r="J177" t="s">
        <v>302</v>
      </c>
      <c r="K177" t="s">
        <v>1078</v>
      </c>
      <c r="L177" t="s">
        <v>1079</v>
      </c>
    </row>
    <row r="178" spans="1:12" x14ac:dyDescent="0.3">
      <c r="A178" t="s">
        <v>1080</v>
      </c>
      <c r="B178" t="s">
        <v>22</v>
      </c>
      <c r="C178" t="s">
        <v>1081</v>
      </c>
      <c r="D178" t="s">
        <v>2963</v>
      </c>
      <c r="E178" t="s">
        <v>1082</v>
      </c>
      <c r="F178" t="s">
        <v>16</v>
      </c>
      <c r="G178" s="2">
        <v>44616</v>
      </c>
      <c r="H178">
        <v>2020</v>
      </c>
      <c r="I178" t="s">
        <v>307</v>
      </c>
      <c r="J178" t="s">
        <v>34</v>
      </c>
      <c r="K178" t="s">
        <v>1083</v>
      </c>
      <c r="L178" t="s">
        <v>1084</v>
      </c>
    </row>
    <row r="179" spans="1:12" x14ac:dyDescent="0.3">
      <c r="A179" t="s">
        <v>1086</v>
      </c>
      <c r="B179" t="s">
        <v>13</v>
      </c>
      <c r="C179" t="s">
        <v>1087</v>
      </c>
      <c r="D179" t="s">
        <v>1088</v>
      </c>
      <c r="E179" t="s">
        <v>1089</v>
      </c>
      <c r="F179" t="s">
        <v>16</v>
      </c>
      <c r="G179" s="2">
        <v>44617</v>
      </c>
      <c r="H179">
        <v>1995</v>
      </c>
      <c r="I179" t="s">
        <v>17</v>
      </c>
      <c r="J179" t="s">
        <v>464</v>
      </c>
      <c r="K179" t="s">
        <v>1090</v>
      </c>
      <c r="L179" t="s">
        <v>1091</v>
      </c>
    </row>
    <row r="180" spans="1:12" x14ac:dyDescent="0.3">
      <c r="A180" t="s">
        <v>1092</v>
      </c>
      <c r="B180" t="s">
        <v>13</v>
      </c>
      <c r="C180" t="s">
        <v>1093</v>
      </c>
      <c r="D180" t="s">
        <v>1094</v>
      </c>
      <c r="E180" t="s">
        <v>1095</v>
      </c>
      <c r="F180" t="s">
        <v>16</v>
      </c>
      <c r="G180" s="2">
        <v>44618</v>
      </c>
      <c r="H180">
        <v>2019</v>
      </c>
      <c r="I180" t="s">
        <v>264</v>
      </c>
      <c r="J180" t="s">
        <v>501</v>
      </c>
      <c r="K180" t="s">
        <v>1096</v>
      </c>
      <c r="L180" t="s">
        <v>1097</v>
      </c>
    </row>
    <row r="181" spans="1:12" x14ac:dyDescent="0.3">
      <c r="A181" t="s">
        <v>1098</v>
      </c>
      <c r="B181" t="s">
        <v>13</v>
      </c>
      <c r="C181" t="s">
        <v>1099</v>
      </c>
      <c r="D181" t="s">
        <v>1100</v>
      </c>
      <c r="E181" t="s">
        <v>1101</v>
      </c>
      <c r="F181" t="s">
        <v>16</v>
      </c>
      <c r="G181" s="2">
        <v>44619</v>
      </c>
      <c r="H181">
        <v>1988</v>
      </c>
      <c r="I181" t="s">
        <v>264</v>
      </c>
      <c r="J181" t="s">
        <v>1071</v>
      </c>
      <c r="K181" t="s">
        <v>1102</v>
      </c>
      <c r="L181" t="s">
        <v>1103</v>
      </c>
    </row>
    <row r="182" spans="1:12" x14ac:dyDescent="0.3">
      <c r="A182" t="s">
        <v>1105</v>
      </c>
      <c r="B182" t="s">
        <v>13</v>
      </c>
      <c r="C182" t="s">
        <v>1106</v>
      </c>
      <c r="D182" t="s">
        <v>1107</v>
      </c>
      <c r="E182" t="s">
        <v>1108</v>
      </c>
      <c r="F182" t="s">
        <v>16</v>
      </c>
      <c r="G182" s="2">
        <v>44620</v>
      </c>
      <c r="H182">
        <v>2006</v>
      </c>
      <c r="I182" t="s">
        <v>17</v>
      </c>
      <c r="J182" t="s">
        <v>464</v>
      </c>
      <c r="K182" t="s">
        <v>1109</v>
      </c>
      <c r="L182" t="s">
        <v>1110</v>
      </c>
    </row>
    <row r="183" spans="1:12" x14ac:dyDescent="0.3">
      <c r="A183" t="s">
        <v>1112</v>
      </c>
      <c r="B183" t="s">
        <v>13</v>
      </c>
      <c r="C183" t="s">
        <v>1113</v>
      </c>
      <c r="D183" t="s">
        <v>1114</v>
      </c>
      <c r="E183" t="s">
        <v>1115</v>
      </c>
      <c r="F183" t="s">
        <v>16</v>
      </c>
      <c r="G183" s="2">
        <v>44621</v>
      </c>
      <c r="H183">
        <v>1984</v>
      </c>
      <c r="I183" t="s">
        <v>57</v>
      </c>
      <c r="J183" t="s">
        <v>93</v>
      </c>
      <c r="K183" t="s">
        <v>1116</v>
      </c>
      <c r="L183" t="s">
        <v>1117</v>
      </c>
    </row>
    <row r="184" spans="1:12" x14ac:dyDescent="0.3">
      <c r="A184" t="s">
        <v>1118</v>
      </c>
      <c r="B184" t="s">
        <v>13</v>
      </c>
      <c r="C184" t="s">
        <v>1119</v>
      </c>
      <c r="D184" t="s">
        <v>1114</v>
      </c>
      <c r="E184" t="s">
        <v>1120</v>
      </c>
      <c r="F184" t="s">
        <v>16</v>
      </c>
      <c r="G184" s="2">
        <v>44622</v>
      </c>
      <c r="H184">
        <v>1986</v>
      </c>
      <c r="I184" t="s">
        <v>57</v>
      </c>
      <c r="J184" t="s">
        <v>314</v>
      </c>
      <c r="K184" t="s">
        <v>1121</v>
      </c>
      <c r="L184" t="s">
        <v>1122</v>
      </c>
    </row>
    <row r="185" spans="1:12" x14ac:dyDescent="0.3">
      <c r="A185" t="s">
        <v>1123</v>
      </c>
      <c r="B185" t="s">
        <v>13</v>
      </c>
      <c r="C185" t="s">
        <v>1124</v>
      </c>
      <c r="D185" t="s">
        <v>1125</v>
      </c>
      <c r="E185" t="s">
        <v>1126</v>
      </c>
      <c r="F185" t="s">
        <v>16</v>
      </c>
      <c r="G185" s="2">
        <v>44623</v>
      </c>
      <c r="H185">
        <v>2008</v>
      </c>
      <c r="I185" t="s">
        <v>264</v>
      </c>
      <c r="J185" t="s">
        <v>303</v>
      </c>
      <c r="K185" t="s">
        <v>1127</v>
      </c>
      <c r="L185" t="s">
        <v>1128</v>
      </c>
    </row>
    <row r="186" spans="1:12" x14ac:dyDescent="0.3">
      <c r="A186" t="s">
        <v>1129</v>
      </c>
      <c r="B186" t="s">
        <v>13</v>
      </c>
      <c r="C186" t="s">
        <v>1130</v>
      </c>
      <c r="D186" t="s">
        <v>1131</v>
      </c>
      <c r="E186" t="s">
        <v>1132</v>
      </c>
      <c r="F186" t="s">
        <v>16</v>
      </c>
      <c r="G186" s="2">
        <v>44624</v>
      </c>
      <c r="H186">
        <v>2010</v>
      </c>
      <c r="I186" t="s">
        <v>17</v>
      </c>
      <c r="J186" t="s">
        <v>174</v>
      </c>
      <c r="K186" t="s">
        <v>1133</v>
      </c>
      <c r="L186" t="s">
        <v>1134</v>
      </c>
    </row>
    <row r="187" spans="1:12" x14ac:dyDescent="0.3">
      <c r="A187" t="s">
        <v>1135</v>
      </c>
      <c r="B187" t="s">
        <v>13</v>
      </c>
      <c r="C187" t="s">
        <v>1136</v>
      </c>
      <c r="D187" t="s">
        <v>1137</v>
      </c>
      <c r="E187" t="s">
        <v>1138</v>
      </c>
      <c r="F187" t="s">
        <v>16</v>
      </c>
      <c r="G187" s="2">
        <v>44625</v>
      </c>
      <c r="H187">
        <v>1998</v>
      </c>
      <c r="I187" t="s">
        <v>17</v>
      </c>
      <c r="J187" t="s">
        <v>455</v>
      </c>
      <c r="K187" t="s">
        <v>1139</v>
      </c>
      <c r="L187" t="s">
        <v>1140</v>
      </c>
    </row>
    <row r="188" spans="1:12" x14ac:dyDescent="0.3">
      <c r="A188" t="s">
        <v>1141</v>
      </c>
      <c r="B188" t="s">
        <v>13</v>
      </c>
      <c r="C188" t="s">
        <v>1142</v>
      </c>
      <c r="D188" t="s">
        <v>1143</v>
      </c>
      <c r="E188" t="s">
        <v>1144</v>
      </c>
      <c r="F188" t="s">
        <v>16</v>
      </c>
      <c r="G188" s="2">
        <v>44626</v>
      </c>
      <c r="H188">
        <v>1998</v>
      </c>
      <c r="I188" t="s">
        <v>264</v>
      </c>
      <c r="J188" t="s">
        <v>250</v>
      </c>
      <c r="K188" t="s">
        <v>1145</v>
      </c>
      <c r="L188" t="s">
        <v>1146</v>
      </c>
    </row>
    <row r="189" spans="1:12" x14ac:dyDescent="0.3">
      <c r="A189" t="s">
        <v>1148</v>
      </c>
      <c r="B189" t="s">
        <v>22</v>
      </c>
      <c r="C189" t="s">
        <v>1149</v>
      </c>
      <c r="D189" t="s">
        <v>1150</v>
      </c>
      <c r="E189" t="s">
        <v>1151</v>
      </c>
      <c r="F189" t="s">
        <v>16</v>
      </c>
      <c r="G189" s="2">
        <v>44627</v>
      </c>
      <c r="H189">
        <v>2020</v>
      </c>
      <c r="I189" t="s">
        <v>74</v>
      </c>
      <c r="J189" t="s">
        <v>34</v>
      </c>
      <c r="K189" t="s">
        <v>1152</v>
      </c>
      <c r="L189" t="s">
        <v>1153</v>
      </c>
    </row>
    <row r="190" spans="1:12" x14ac:dyDescent="0.3">
      <c r="A190" t="s">
        <v>1154</v>
      </c>
      <c r="B190" t="s">
        <v>22</v>
      </c>
      <c r="C190" t="s">
        <v>1155</v>
      </c>
      <c r="D190" t="s">
        <v>2963</v>
      </c>
      <c r="E190" t="s">
        <v>1156</v>
      </c>
      <c r="F190" t="s">
        <v>16</v>
      </c>
      <c r="G190" s="2">
        <v>44628</v>
      </c>
      <c r="H190">
        <v>2021</v>
      </c>
      <c r="I190" t="s">
        <v>26</v>
      </c>
      <c r="J190" t="s">
        <v>27</v>
      </c>
      <c r="K190" t="s">
        <v>1157</v>
      </c>
      <c r="L190" t="s">
        <v>1158</v>
      </c>
    </row>
    <row r="191" spans="1:12" x14ac:dyDescent="0.3">
      <c r="A191" t="s">
        <v>1160</v>
      </c>
      <c r="B191" t="s">
        <v>13</v>
      </c>
      <c r="C191" t="s">
        <v>1161</v>
      </c>
      <c r="D191" t="s">
        <v>1159</v>
      </c>
      <c r="E191" t="s">
        <v>1162</v>
      </c>
      <c r="F191" t="s">
        <v>16</v>
      </c>
      <c r="G191" s="2">
        <v>44629</v>
      </c>
      <c r="H191">
        <v>2015</v>
      </c>
      <c r="I191" t="s">
        <v>26</v>
      </c>
      <c r="J191" t="s">
        <v>219</v>
      </c>
      <c r="K191" t="s">
        <v>1163</v>
      </c>
      <c r="L191" t="s">
        <v>1164</v>
      </c>
    </row>
    <row r="192" spans="1:12" x14ac:dyDescent="0.3">
      <c r="A192" t="s">
        <v>1165</v>
      </c>
      <c r="B192" t="s">
        <v>22</v>
      </c>
      <c r="C192" t="s">
        <v>1166</v>
      </c>
      <c r="D192" t="s">
        <v>2963</v>
      </c>
      <c r="E192" t="s">
        <v>1167</v>
      </c>
      <c r="F192" t="s">
        <v>16</v>
      </c>
      <c r="G192" s="2">
        <v>44630</v>
      </c>
      <c r="H192">
        <v>2001</v>
      </c>
      <c r="I192" t="s">
        <v>74</v>
      </c>
      <c r="J192" t="s">
        <v>27</v>
      </c>
      <c r="K192" t="s">
        <v>1168</v>
      </c>
      <c r="L192" t="s">
        <v>1169</v>
      </c>
    </row>
    <row r="193" spans="1:12" x14ac:dyDescent="0.3">
      <c r="A193" t="s">
        <v>1170</v>
      </c>
      <c r="B193" t="s">
        <v>22</v>
      </c>
      <c r="C193" t="s">
        <v>1171</v>
      </c>
      <c r="D193" t="s">
        <v>2963</v>
      </c>
      <c r="E193" t="s">
        <v>1172</v>
      </c>
      <c r="F193" t="s">
        <v>16</v>
      </c>
      <c r="G193" s="2">
        <v>44631</v>
      </c>
      <c r="H193">
        <v>2018</v>
      </c>
      <c r="I193" t="s">
        <v>26</v>
      </c>
      <c r="J193" t="s">
        <v>194</v>
      </c>
      <c r="K193" t="s">
        <v>1173</v>
      </c>
      <c r="L193" t="s">
        <v>1174</v>
      </c>
    </row>
    <row r="194" spans="1:12" x14ac:dyDescent="0.3">
      <c r="A194" t="s">
        <v>1177</v>
      </c>
      <c r="B194" t="s">
        <v>22</v>
      </c>
      <c r="C194" t="s">
        <v>1178</v>
      </c>
      <c r="D194" t="s">
        <v>2963</v>
      </c>
      <c r="E194" t="s">
        <v>1179</v>
      </c>
      <c r="F194" t="s">
        <v>16</v>
      </c>
      <c r="G194" s="2">
        <v>44632</v>
      </c>
      <c r="H194">
        <v>2019</v>
      </c>
      <c r="I194" t="s">
        <v>26</v>
      </c>
      <c r="J194" t="s">
        <v>34</v>
      </c>
      <c r="K194" t="s">
        <v>1180</v>
      </c>
      <c r="L194" t="s">
        <v>1181</v>
      </c>
    </row>
    <row r="195" spans="1:12" x14ac:dyDescent="0.3">
      <c r="A195" t="s">
        <v>1182</v>
      </c>
      <c r="B195" t="s">
        <v>22</v>
      </c>
      <c r="C195" t="s">
        <v>1183</v>
      </c>
      <c r="D195" t="s">
        <v>2963</v>
      </c>
      <c r="E195" t="s">
        <v>1184</v>
      </c>
      <c r="F195" t="s">
        <v>16</v>
      </c>
      <c r="G195" s="2">
        <v>44633</v>
      </c>
      <c r="H195">
        <v>2018</v>
      </c>
      <c r="I195" t="s">
        <v>26</v>
      </c>
      <c r="J195" t="s">
        <v>34</v>
      </c>
      <c r="K195" t="s">
        <v>1185</v>
      </c>
      <c r="L195" t="s">
        <v>1186</v>
      </c>
    </row>
    <row r="196" spans="1:12" x14ac:dyDescent="0.3">
      <c r="A196" t="s">
        <v>1187</v>
      </c>
      <c r="B196" t="s">
        <v>22</v>
      </c>
      <c r="C196" t="s">
        <v>1188</v>
      </c>
      <c r="D196" t="s">
        <v>1189</v>
      </c>
      <c r="E196" t="s">
        <v>1190</v>
      </c>
      <c r="F196" t="s">
        <v>16</v>
      </c>
      <c r="G196" s="2">
        <v>44634</v>
      </c>
      <c r="H196">
        <v>2018</v>
      </c>
      <c r="I196" t="s">
        <v>26</v>
      </c>
      <c r="J196" t="s">
        <v>34</v>
      </c>
      <c r="K196" t="s">
        <v>1191</v>
      </c>
      <c r="L196" t="s">
        <v>1192</v>
      </c>
    </row>
    <row r="197" spans="1:12" x14ac:dyDescent="0.3">
      <c r="A197" t="s">
        <v>1193</v>
      </c>
      <c r="B197" t="s">
        <v>22</v>
      </c>
      <c r="C197" t="s">
        <v>1194</v>
      </c>
      <c r="D197" t="s">
        <v>2963</v>
      </c>
      <c r="E197" t="s">
        <v>1195</v>
      </c>
      <c r="F197" t="s">
        <v>16</v>
      </c>
      <c r="G197" s="2">
        <v>44635</v>
      </c>
      <c r="H197">
        <v>2021</v>
      </c>
      <c r="I197" t="s">
        <v>74</v>
      </c>
      <c r="J197" t="s">
        <v>27</v>
      </c>
      <c r="K197" t="s">
        <v>1196</v>
      </c>
      <c r="L197" t="s">
        <v>1197</v>
      </c>
    </row>
    <row r="198" spans="1:12" x14ac:dyDescent="0.3">
      <c r="A198" t="s">
        <v>1198</v>
      </c>
      <c r="B198" t="s">
        <v>13</v>
      </c>
      <c r="C198" t="s">
        <v>1199</v>
      </c>
      <c r="D198" t="s">
        <v>1175</v>
      </c>
      <c r="E198" t="s">
        <v>1176</v>
      </c>
      <c r="F198" t="s">
        <v>16</v>
      </c>
      <c r="G198" s="2">
        <v>44636</v>
      </c>
      <c r="H198">
        <v>1981</v>
      </c>
      <c r="I198" t="s">
        <v>74</v>
      </c>
      <c r="J198" t="s">
        <v>778</v>
      </c>
      <c r="K198" t="s">
        <v>1200</v>
      </c>
      <c r="L198" t="s">
        <v>1201</v>
      </c>
    </row>
    <row r="199" spans="1:12" x14ac:dyDescent="0.3">
      <c r="A199" t="s">
        <v>1203</v>
      </c>
      <c r="B199" t="s">
        <v>22</v>
      </c>
      <c r="C199" t="s">
        <v>1204</v>
      </c>
      <c r="D199" t="s">
        <v>2963</v>
      </c>
      <c r="E199" t="s">
        <v>1205</v>
      </c>
      <c r="F199" t="s">
        <v>16</v>
      </c>
      <c r="G199" s="2">
        <v>44637</v>
      </c>
      <c r="H199">
        <v>2021</v>
      </c>
      <c r="I199" t="s">
        <v>26</v>
      </c>
      <c r="J199" t="s">
        <v>27</v>
      </c>
      <c r="K199" t="s">
        <v>1206</v>
      </c>
      <c r="L199" t="s">
        <v>1207</v>
      </c>
    </row>
    <row r="200" spans="1:12" x14ac:dyDescent="0.3">
      <c r="A200" t="s">
        <v>1209</v>
      </c>
      <c r="B200" t="s">
        <v>22</v>
      </c>
      <c r="C200" t="s">
        <v>1210</v>
      </c>
      <c r="D200" t="s">
        <v>2963</v>
      </c>
      <c r="E200" t="s">
        <v>1211</v>
      </c>
      <c r="F200" t="s">
        <v>16</v>
      </c>
      <c r="G200" s="2">
        <v>44638</v>
      </c>
      <c r="H200">
        <v>2021</v>
      </c>
      <c r="I200" t="s">
        <v>26</v>
      </c>
      <c r="J200" t="s">
        <v>34</v>
      </c>
      <c r="K200" t="s">
        <v>1212</v>
      </c>
      <c r="L200" t="s">
        <v>1213</v>
      </c>
    </row>
    <row r="201" spans="1:12" x14ac:dyDescent="0.3">
      <c r="A201" t="s">
        <v>1215</v>
      </c>
      <c r="B201" t="s">
        <v>22</v>
      </c>
      <c r="C201" t="s">
        <v>1216</v>
      </c>
      <c r="D201" t="s">
        <v>1217</v>
      </c>
      <c r="E201" t="s">
        <v>1218</v>
      </c>
      <c r="F201" t="s">
        <v>16</v>
      </c>
      <c r="G201" s="2">
        <v>44639</v>
      </c>
      <c r="H201">
        <v>2021</v>
      </c>
      <c r="I201" t="s">
        <v>26</v>
      </c>
      <c r="J201" t="s">
        <v>34</v>
      </c>
      <c r="K201" t="s">
        <v>1219</v>
      </c>
      <c r="L201" t="s">
        <v>1220</v>
      </c>
    </row>
    <row r="202" spans="1:12" x14ac:dyDescent="0.3">
      <c r="A202" t="s">
        <v>1221</v>
      </c>
      <c r="B202" t="s">
        <v>13</v>
      </c>
      <c r="C202" t="s">
        <v>1222</v>
      </c>
      <c r="D202" t="s">
        <v>2963</v>
      </c>
      <c r="E202" t="s">
        <v>2963</v>
      </c>
      <c r="F202" t="s">
        <v>16</v>
      </c>
      <c r="G202" s="2">
        <v>44640</v>
      </c>
      <c r="H202">
        <v>2021</v>
      </c>
      <c r="I202" t="s">
        <v>74</v>
      </c>
      <c r="J202" t="s">
        <v>1214</v>
      </c>
      <c r="K202" t="s">
        <v>1223</v>
      </c>
      <c r="L202" t="s">
        <v>1224</v>
      </c>
    </row>
    <row r="203" spans="1:12" x14ac:dyDescent="0.3">
      <c r="A203" t="s">
        <v>1225</v>
      </c>
      <c r="B203" t="s">
        <v>13</v>
      </c>
      <c r="C203" t="s">
        <v>1226</v>
      </c>
      <c r="D203" t="s">
        <v>1227</v>
      </c>
      <c r="E203" t="s">
        <v>1228</v>
      </c>
      <c r="F203" t="s">
        <v>16</v>
      </c>
      <c r="G203" s="2">
        <v>44641</v>
      </c>
      <c r="H203">
        <v>2014</v>
      </c>
      <c r="I203" t="s">
        <v>264</v>
      </c>
      <c r="J203" t="s">
        <v>559</v>
      </c>
      <c r="K203" t="s">
        <v>1229</v>
      </c>
      <c r="L203" t="s">
        <v>1230</v>
      </c>
    </row>
    <row r="204" spans="1:12" x14ac:dyDescent="0.3">
      <c r="A204" t="s">
        <v>1231</v>
      </c>
      <c r="B204" t="s">
        <v>22</v>
      </c>
      <c r="C204" t="s">
        <v>1232</v>
      </c>
      <c r="D204" t="s">
        <v>2963</v>
      </c>
      <c r="E204" t="s">
        <v>1233</v>
      </c>
      <c r="F204" t="s">
        <v>16</v>
      </c>
      <c r="G204" s="2">
        <v>44642</v>
      </c>
      <c r="H204">
        <v>2021</v>
      </c>
      <c r="I204" t="s">
        <v>26</v>
      </c>
      <c r="J204" t="s">
        <v>34</v>
      </c>
      <c r="K204" t="s">
        <v>1234</v>
      </c>
      <c r="L204" t="s">
        <v>1235</v>
      </c>
    </row>
    <row r="205" spans="1:12" x14ac:dyDescent="0.3">
      <c r="A205" t="s">
        <v>1237</v>
      </c>
      <c r="B205" t="s">
        <v>13</v>
      </c>
      <c r="C205" t="s">
        <v>1238</v>
      </c>
      <c r="D205" t="s">
        <v>2963</v>
      </c>
      <c r="E205" t="s">
        <v>1239</v>
      </c>
      <c r="F205" t="s">
        <v>16</v>
      </c>
      <c r="G205" s="2">
        <v>44643</v>
      </c>
      <c r="H205">
        <v>2021</v>
      </c>
      <c r="I205" t="s">
        <v>307</v>
      </c>
      <c r="J205" t="s">
        <v>150</v>
      </c>
      <c r="K205" t="s">
        <v>1240</v>
      </c>
      <c r="L205" t="s">
        <v>1241</v>
      </c>
    </row>
    <row r="206" spans="1:12" x14ac:dyDescent="0.3">
      <c r="A206" t="s">
        <v>1242</v>
      </c>
      <c r="B206" t="s">
        <v>22</v>
      </c>
      <c r="C206" t="s">
        <v>1243</v>
      </c>
      <c r="D206" t="s">
        <v>1244</v>
      </c>
      <c r="E206" t="s">
        <v>1245</v>
      </c>
      <c r="F206" t="s">
        <v>16</v>
      </c>
      <c r="G206" s="2">
        <v>44644</v>
      </c>
      <c r="H206">
        <v>2021</v>
      </c>
      <c r="I206" t="s">
        <v>26</v>
      </c>
      <c r="J206" t="s">
        <v>27</v>
      </c>
      <c r="K206" t="s">
        <v>1246</v>
      </c>
      <c r="L206" t="s">
        <v>1247</v>
      </c>
    </row>
    <row r="207" spans="1:12" x14ac:dyDescent="0.3">
      <c r="A207" t="s">
        <v>1248</v>
      </c>
      <c r="B207" t="s">
        <v>13</v>
      </c>
      <c r="C207" t="s">
        <v>1249</v>
      </c>
      <c r="D207" t="s">
        <v>1250</v>
      </c>
      <c r="E207" t="s">
        <v>1251</v>
      </c>
      <c r="F207" t="s">
        <v>16</v>
      </c>
      <c r="G207" s="2">
        <v>44645</v>
      </c>
      <c r="H207">
        <v>2020</v>
      </c>
      <c r="I207" t="s">
        <v>17</v>
      </c>
      <c r="J207" t="s">
        <v>544</v>
      </c>
      <c r="K207" t="s">
        <v>1252</v>
      </c>
      <c r="L207" t="s">
        <v>1253</v>
      </c>
    </row>
    <row r="208" spans="1:12" x14ac:dyDescent="0.3">
      <c r="A208" t="s">
        <v>1254</v>
      </c>
      <c r="B208" t="s">
        <v>13</v>
      </c>
      <c r="C208" t="s">
        <v>1255</v>
      </c>
      <c r="D208" t="s">
        <v>1256</v>
      </c>
      <c r="E208" t="s">
        <v>1257</v>
      </c>
      <c r="F208" t="s">
        <v>16</v>
      </c>
      <c r="G208" s="2">
        <v>44646</v>
      </c>
      <c r="H208">
        <v>2012</v>
      </c>
      <c r="I208" t="s">
        <v>26</v>
      </c>
      <c r="J208" t="s">
        <v>212</v>
      </c>
      <c r="K208" t="s">
        <v>1258</v>
      </c>
      <c r="L208" t="s">
        <v>1259</v>
      </c>
    </row>
    <row r="209" spans="1:12" x14ac:dyDescent="0.3">
      <c r="A209" t="s">
        <v>1260</v>
      </c>
      <c r="B209" t="s">
        <v>13</v>
      </c>
      <c r="C209" t="s">
        <v>1261</v>
      </c>
      <c r="D209" t="s">
        <v>1262</v>
      </c>
      <c r="E209" t="s">
        <v>1263</v>
      </c>
      <c r="F209" t="s">
        <v>16</v>
      </c>
      <c r="G209" s="2">
        <v>44647</v>
      </c>
      <c r="H209">
        <v>2009</v>
      </c>
      <c r="I209" t="s">
        <v>26</v>
      </c>
      <c r="J209" t="s">
        <v>695</v>
      </c>
      <c r="K209" t="s">
        <v>1264</v>
      </c>
      <c r="L209" t="s">
        <v>1265</v>
      </c>
    </row>
    <row r="210" spans="1:12" x14ac:dyDescent="0.3">
      <c r="A210" t="s">
        <v>1266</v>
      </c>
      <c r="B210" t="s">
        <v>13</v>
      </c>
      <c r="C210" t="s">
        <v>1267</v>
      </c>
      <c r="D210" t="s">
        <v>1268</v>
      </c>
      <c r="E210" t="s">
        <v>1269</v>
      </c>
      <c r="F210" t="s">
        <v>16</v>
      </c>
      <c r="G210" s="2">
        <v>44648</v>
      </c>
      <c r="H210">
        <v>2000</v>
      </c>
      <c r="I210" t="s">
        <v>17</v>
      </c>
      <c r="J210" t="s">
        <v>458</v>
      </c>
      <c r="K210" t="s">
        <v>1270</v>
      </c>
      <c r="L210" t="s">
        <v>1271</v>
      </c>
    </row>
    <row r="211" spans="1:12" x14ac:dyDescent="0.3">
      <c r="A211" t="s">
        <v>1273</v>
      </c>
      <c r="B211" t="s">
        <v>13</v>
      </c>
      <c r="C211" t="s">
        <v>1274</v>
      </c>
      <c r="D211" t="s">
        <v>1275</v>
      </c>
      <c r="E211" t="s">
        <v>1276</v>
      </c>
      <c r="F211" t="s">
        <v>16</v>
      </c>
      <c r="G211" s="2">
        <v>44649</v>
      </c>
      <c r="H211">
        <v>2011</v>
      </c>
      <c r="I211" t="s">
        <v>264</v>
      </c>
      <c r="J211" t="s">
        <v>292</v>
      </c>
      <c r="K211" t="s">
        <v>1277</v>
      </c>
      <c r="L211" t="s">
        <v>1278</v>
      </c>
    </row>
    <row r="212" spans="1:12" x14ac:dyDescent="0.3">
      <c r="A212" t="s">
        <v>1279</v>
      </c>
      <c r="B212" t="s">
        <v>13</v>
      </c>
      <c r="C212" t="s">
        <v>1280</v>
      </c>
      <c r="D212" t="s">
        <v>1281</v>
      </c>
      <c r="E212" t="s">
        <v>1282</v>
      </c>
      <c r="F212" t="s">
        <v>16</v>
      </c>
      <c r="G212" s="2">
        <v>44650</v>
      </c>
      <c r="H212">
        <v>2011</v>
      </c>
      <c r="I212" t="s">
        <v>264</v>
      </c>
      <c r="J212" t="s">
        <v>82</v>
      </c>
      <c r="K212" t="s">
        <v>1283</v>
      </c>
      <c r="L212" t="s">
        <v>1284</v>
      </c>
    </row>
    <row r="213" spans="1:12" x14ac:dyDescent="0.3">
      <c r="A213" t="s">
        <v>1285</v>
      </c>
      <c r="B213" t="s">
        <v>22</v>
      </c>
      <c r="C213" t="s">
        <v>1286</v>
      </c>
      <c r="D213" t="s">
        <v>1287</v>
      </c>
      <c r="E213" t="s">
        <v>1288</v>
      </c>
      <c r="F213" t="s">
        <v>16</v>
      </c>
      <c r="G213" s="2">
        <v>44651</v>
      </c>
      <c r="H213">
        <v>2006</v>
      </c>
      <c r="I213" t="s">
        <v>100</v>
      </c>
      <c r="J213" t="s">
        <v>34</v>
      </c>
      <c r="K213" t="s">
        <v>1289</v>
      </c>
      <c r="L213" t="s">
        <v>1290</v>
      </c>
    </row>
    <row r="214" spans="1:12" x14ac:dyDescent="0.3">
      <c r="A214" t="s">
        <v>1291</v>
      </c>
      <c r="B214" t="s">
        <v>13</v>
      </c>
      <c r="C214" t="s">
        <v>1292</v>
      </c>
      <c r="D214" t="s">
        <v>1293</v>
      </c>
      <c r="E214" t="s">
        <v>1294</v>
      </c>
      <c r="F214" t="s">
        <v>16</v>
      </c>
      <c r="G214" s="2">
        <v>44652</v>
      </c>
      <c r="H214">
        <v>2015</v>
      </c>
      <c r="I214" t="s">
        <v>26</v>
      </c>
      <c r="J214" t="s">
        <v>184</v>
      </c>
      <c r="K214" t="s">
        <v>1295</v>
      </c>
      <c r="L214" t="s">
        <v>1296</v>
      </c>
    </row>
    <row r="215" spans="1:12" x14ac:dyDescent="0.3">
      <c r="A215" t="s">
        <v>1297</v>
      </c>
      <c r="B215" t="s">
        <v>13</v>
      </c>
      <c r="C215" t="s">
        <v>1298</v>
      </c>
      <c r="D215" t="s">
        <v>1299</v>
      </c>
      <c r="E215" t="s">
        <v>1300</v>
      </c>
      <c r="F215" t="s">
        <v>16</v>
      </c>
      <c r="G215" s="2">
        <v>44653</v>
      </c>
      <c r="H215">
        <v>2018</v>
      </c>
      <c r="I215" t="s">
        <v>264</v>
      </c>
      <c r="J215" t="s">
        <v>181</v>
      </c>
      <c r="K215" t="s">
        <v>1301</v>
      </c>
      <c r="L215" t="s">
        <v>1302</v>
      </c>
    </row>
    <row r="216" spans="1:12" x14ac:dyDescent="0.3">
      <c r="A216" t="s">
        <v>1303</v>
      </c>
      <c r="B216" t="s">
        <v>13</v>
      </c>
      <c r="C216" t="s">
        <v>1304</v>
      </c>
      <c r="D216" t="s">
        <v>1305</v>
      </c>
      <c r="E216" t="s">
        <v>1306</v>
      </c>
      <c r="F216" t="s">
        <v>16</v>
      </c>
      <c r="G216" s="2">
        <v>44654</v>
      </c>
      <c r="H216">
        <v>2021</v>
      </c>
      <c r="I216" t="s">
        <v>100</v>
      </c>
      <c r="J216" t="s">
        <v>181</v>
      </c>
      <c r="K216" t="s">
        <v>1307</v>
      </c>
      <c r="L216" t="s">
        <v>1308</v>
      </c>
    </row>
    <row r="217" spans="1:12" x14ac:dyDescent="0.3">
      <c r="A217" t="s">
        <v>1309</v>
      </c>
      <c r="B217" t="s">
        <v>13</v>
      </c>
      <c r="C217" t="s">
        <v>1310</v>
      </c>
      <c r="D217" t="s">
        <v>1311</v>
      </c>
      <c r="E217" t="s">
        <v>1312</v>
      </c>
      <c r="F217" t="s">
        <v>16</v>
      </c>
      <c r="G217" s="2">
        <v>44655</v>
      </c>
      <c r="H217">
        <v>2021</v>
      </c>
      <c r="I217" t="s">
        <v>26</v>
      </c>
      <c r="J217" t="s">
        <v>380</v>
      </c>
      <c r="K217" t="s">
        <v>1313</v>
      </c>
      <c r="L217" t="s">
        <v>1314</v>
      </c>
    </row>
    <row r="218" spans="1:12" x14ac:dyDescent="0.3">
      <c r="A218" t="s">
        <v>1315</v>
      </c>
      <c r="B218" t="s">
        <v>13</v>
      </c>
      <c r="C218" t="s">
        <v>1316</v>
      </c>
      <c r="D218" t="s">
        <v>1317</v>
      </c>
      <c r="E218" t="s">
        <v>1318</v>
      </c>
      <c r="F218" t="s">
        <v>16</v>
      </c>
      <c r="G218" s="2">
        <v>44656</v>
      </c>
      <c r="H218">
        <v>2021</v>
      </c>
      <c r="I218" t="s">
        <v>264</v>
      </c>
      <c r="J218" t="s">
        <v>846</v>
      </c>
      <c r="K218" t="s">
        <v>1319</v>
      </c>
      <c r="L218" t="s">
        <v>1320</v>
      </c>
    </row>
    <row r="219" spans="1:12" x14ac:dyDescent="0.3">
      <c r="A219" t="s">
        <v>1321</v>
      </c>
      <c r="B219" t="s">
        <v>13</v>
      </c>
      <c r="C219" t="s">
        <v>1322</v>
      </c>
      <c r="D219" t="s">
        <v>1323</v>
      </c>
      <c r="E219" t="s">
        <v>2963</v>
      </c>
      <c r="F219" t="s">
        <v>16</v>
      </c>
      <c r="G219" s="2">
        <v>44657</v>
      </c>
      <c r="H219">
        <v>2020</v>
      </c>
      <c r="I219" t="s">
        <v>26</v>
      </c>
      <c r="J219" t="s">
        <v>58</v>
      </c>
      <c r="K219" t="s">
        <v>1324</v>
      </c>
      <c r="L219" t="s">
        <v>1325</v>
      </c>
    </row>
    <row r="220" spans="1:12" x14ac:dyDescent="0.3">
      <c r="A220" t="s">
        <v>1326</v>
      </c>
      <c r="B220" t="s">
        <v>13</v>
      </c>
      <c r="C220" t="s">
        <v>1327</v>
      </c>
      <c r="D220" t="s">
        <v>1328</v>
      </c>
      <c r="E220" t="s">
        <v>1329</v>
      </c>
      <c r="F220" t="s">
        <v>16</v>
      </c>
      <c r="G220" s="2">
        <v>44658</v>
      </c>
      <c r="H220">
        <v>2016</v>
      </c>
      <c r="I220" t="s">
        <v>264</v>
      </c>
      <c r="J220" t="s">
        <v>573</v>
      </c>
      <c r="K220" t="s">
        <v>1330</v>
      </c>
      <c r="L220" t="s">
        <v>1331</v>
      </c>
    </row>
    <row r="221" spans="1:12" x14ac:dyDescent="0.3">
      <c r="A221" t="s">
        <v>1332</v>
      </c>
      <c r="B221" t="s">
        <v>13</v>
      </c>
      <c r="C221" t="s">
        <v>1333</v>
      </c>
      <c r="D221" t="s">
        <v>1334</v>
      </c>
      <c r="E221" t="s">
        <v>1335</v>
      </c>
      <c r="F221" t="s">
        <v>16</v>
      </c>
      <c r="G221" s="2">
        <v>44659</v>
      </c>
      <c r="H221">
        <v>2021</v>
      </c>
      <c r="I221" t="s">
        <v>26</v>
      </c>
      <c r="J221" t="s">
        <v>289</v>
      </c>
      <c r="K221" t="s">
        <v>1336</v>
      </c>
      <c r="L221" t="s">
        <v>1337</v>
      </c>
    </row>
    <row r="222" spans="1:12" x14ac:dyDescent="0.3">
      <c r="A222" t="s">
        <v>1338</v>
      </c>
      <c r="B222" t="s">
        <v>22</v>
      </c>
      <c r="C222" t="s">
        <v>1339</v>
      </c>
      <c r="D222" t="s">
        <v>2963</v>
      </c>
      <c r="E222" t="s">
        <v>2963</v>
      </c>
      <c r="F222" t="s">
        <v>16</v>
      </c>
      <c r="G222" s="2">
        <v>44660</v>
      </c>
      <c r="H222">
        <v>2021</v>
      </c>
      <c r="I222" t="s">
        <v>26</v>
      </c>
      <c r="J222" t="s">
        <v>194</v>
      </c>
      <c r="K222" t="s">
        <v>1340</v>
      </c>
      <c r="L222" t="s">
        <v>1341</v>
      </c>
    </row>
    <row r="223" spans="1:12" x14ac:dyDescent="0.3">
      <c r="A223" t="s">
        <v>1342</v>
      </c>
      <c r="B223" t="s">
        <v>22</v>
      </c>
      <c r="C223" t="s">
        <v>1343</v>
      </c>
      <c r="D223" t="s">
        <v>2963</v>
      </c>
      <c r="E223" t="s">
        <v>1344</v>
      </c>
      <c r="F223" t="s">
        <v>16</v>
      </c>
      <c r="G223" s="2">
        <v>44661</v>
      </c>
      <c r="H223">
        <v>2021</v>
      </c>
      <c r="I223" t="s">
        <v>26</v>
      </c>
      <c r="J223" t="s">
        <v>27</v>
      </c>
      <c r="K223" t="s">
        <v>1345</v>
      </c>
      <c r="L223" t="s">
        <v>1346</v>
      </c>
    </row>
    <row r="224" spans="1:12" x14ac:dyDescent="0.3">
      <c r="A224" t="s">
        <v>1347</v>
      </c>
      <c r="B224" t="s">
        <v>22</v>
      </c>
      <c r="C224" t="s">
        <v>1348</v>
      </c>
      <c r="D224" t="s">
        <v>1349</v>
      </c>
      <c r="E224" t="s">
        <v>1350</v>
      </c>
      <c r="F224" t="s">
        <v>16</v>
      </c>
      <c r="G224" s="2">
        <v>44662</v>
      </c>
      <c r="H224">
        <v>2020</v>
      </c>
      <c r="I224" t="s">
        <v>74</v>
      </c>
      <c r="J224" t="s">
        <v>34</v>
      </c>
      <c r="K224" t="s">
        <v>1351</v>
      </c>
      <c r="L224" t="s">
        <v>1352</v>
      </c>
    </row>
    <row r="225" spans="1:12" x14ac:dyDescent="0.3">
      <c r="A225" t="s">
        <v>1354</v>
      </c>
      <c r="B225" t="s">
        <v>13</v>
      </c>
      <c r="C225" t="s">
        <v>1355</v>
      </c>
      <c r="D225" t="s">
        <v>1356</v>
      </c>
      <c r="E225" t="s">
        <v>1357</v>
      </c>
      <c r="F225" t="s">
        <v>16</v>
      </c>
      <c r="G225" s="2">
        <v>44663</v>
      </c>
      <c r="H225">
        <v>2004</v>
      </c>
      <c r="I225" t="s">
        <v>264</v>
      </c>
      <c r="J225" t="s">
        <v>219</v>
      </c>
      <c r="K225" t="s">
        <v>1358</v>
      </c>
      <c r="L225" t="s">
        <v>1359</v>
      </c>
    </row>
    <row r="226" spans="1:12" x14ac:dyDescent="0.3">
      <c r="A226" t="s">
        <v>1361</v>
      </c>
      <c r="B226" t="s">
        <v>13</v>
      </c>
      <c r="C226" t="s">
        <v>1362</v>
      </c>
      <c r="D226" t="s">
        <v>1363</v>
      </c>
      <c r="E226" t="s">
        <v>1364</v>
      </c>
      <c r="F226" t="s">
        <v>16</v>
      </c>
      <c r="G226" s="2">
        <v>44664</v>
      </c>
      <c r="H226">
        <v>2019</v>
      </c>
      <c r="I226" t="s">
        <v>100</v>
      </c>
      <c r="J226" t="s">
        <v>559</v>
      </c>
      <c r="K226" t="s">
        <v>1365</v>
      </c>
      <c r="L226" t="s">
        <v>1366</v>
      </c>
    </row>
    <row r="227" spans="1:12" x14ac:dyDescent="0.3">
      <c r="A227" t="s">
        <v>1367</v>
      </c>
      <c r="B227" t="s">
        <v>13</v>
      </c>
      <c r="C227" t="s">
        <v>1368</v>
      </c>
      <c r="D227" t="s">
        <v>1369</v>
      </c>
      <c r="E227" t="s">
        <v>1370</v>
      </c>
      <c r="F227" t="s">
        <v>16</v>
      </c>
      <c r="G227" s="2">
        <v>44665</v>
      </c>
      <c r="H227">
        <v>2019</v>
      </c>
      <c r="I227" t="s">
        <v>26</v>
      </c>
      <c r="J227" t="s">
        <v>532</v>
      </c>
      <c r="K227" t="s">
        <v>1371</v>
      </c>
      <c r="L227" t="s">
        <v>1372</v>
      </c>
    </row>
    <row r="228" spans="1:12" x14ac:dyDescent="0.3">
      <c r="A228" t="s">
        <v>1374</v>
      </c>
      <c r="B228" t="s">
        <v>13</v>
      </c>
      <c r="C228" t="s">
        <v>1375</v>
      </c>
      <c r="D228" t="s">
        <v>1376</v>
      </c>
      <c r="E228" t="s">
        <v>1377</v>
      </c>
      <c r="F228" t="s">
        <v>16</v>
      </c>
      <c r="G228" s="2">
        <v>44666</v>
      </c>
      <c r="H228">
        <v>1989</v>
      </c>
      <c r="I228" t="s">
        <v>17</v>
      </c>
      <c r="J228" t="s">
        <v>181</v>
      </c>
      <c r="K228" t="s">
        <v>1378</v>
      </c>
      <c r="L228" t="s">
        <v>1379</v>
      </c>
    </row>
    <row r="229" spans="1:12" x14ac:dyDescent="0.3">
      <c r="A229" t="s">
        <v>1380</v>
      </c>
      <c r="B229" t="s">
        <v>13</v>
      </c>
      <c r="C229" t="s">
        <v>1381</v>
      </c>
      <c r="D229" t="s">
        <v>1382</v>
      </c>
      <c r="E229" t="s">
        <v>1383</v>
      </c>
      <c r="F229" t="s">
        <v>16</v>
      </c>
      <c r="G229" s="2">
        <v>44667</v>
      </c>
      <c r="H229">
        <v>2009</v>
      </c>
      <c r="I229" t="s">
        <v>17</v>
      </c>
      <c r="J229" t="s">
        <v>634</v>
      </c>
      <c r="K229" t="s">
        <v>1384</v>
      </c>
      <c r="L229" t="s">
        <v>1385</v>
      </c>
    </row>
    <row r="230" spans="1:12" x14ac:dyDescent="0.3">
      <c r="A230" t="s">
        <v>1386</v>
      </c>
      <c r="B230" t="s">
        <v>13</v>
      </c>
      <c r="C230" t="s">
        <v>1387</v>
      </c>
      <c r="D230" t="s">
        <v>1388</v>
      </c>
      <c r="E230" t="s">
        <v>1389</v>
      </c>
      <c r="F230" t="s">
        <v>16</v>
      </c>
      <c r="G230" s="2">
        <v>44668</v>
      </c>
      <c r="H230">
        <v>2008</v>
      </c>
      <c r="I230" t="s">
        <v>264</v>
      </c>
      <c r="J230" t="s">
        <v>544</v>
      </c>
      <c r="K230" t="s">
        <v>1390</v>
      </c>
      <c r="L230" t="s">
        <v>1391</v>
      </c>
    </row>
    <row r="231" spans="1:12" x14ac:dyDescent="0.3">
      <c r="A231" t="s">
        <v>1392</v>
      </c>
      <c r="B231" t="s">
        <v>13</v>
      </c>
      <c r="C231" t="s">
        <v>1393</v>
      </c>
      <c r="D231" t="s">
        <v>1394</v>
      </c>
      <c r="E231" t="s">
        <v>1395</v>
      </c>
      <c r="F231" t="s">
        <v>16</v>
      </c>
      <c r="G231" s="2">
        <v>44669</v>
      </c>
      <c r="H231">
        <v>2015</v>
      </c>
      <c r="I231" t="s">
        <v>264</v>
      </c>
      <c r="J231" t="s">
        <v>436</v>
      </c>
      <c r="K231" t="s">
        <v>1396</v>
      </c>
      <c r="L231" t="s">
        <v>1397</v>
      </c>
    </row>
    <row r="232" spans="1:12" x14ac:dyDescent="0.3">
      <c r="A232" t="s">
        <v>1398</v>
      </c>
      <c r="B232" t="s">
        <v>22</v>
      </c>
      <c r="C232" t="s">
        <v>1399</v>
      </c>
      <c r="D232" t="s">
        <v>2963</v>
      </c>
      <c r="E232" t="s">
        <v>1400</v>
      </c>
      <c r="F232" t="s">
        <v>16</v>
      </c>
      <c r="G232" s="2">
        <v>44670</v>
      </c>
      <c r="H232">
        <v>2021</v>
      </c>
      <c r="I232" t="s">
        <v>74</v>
      </c>
      <c r="J232" t="s">
        <v>34</v>
      </c>
      <c r="K232" t="s">
        <v>1401</v>
      </c>
      <c r="L232" t="s">
        <v>1402</v>
      </c>
    </row>
    <row r="233" spans="1:12" x14ac:dyDescent="0.3">
      <c r="A233" t="s">
        <v>1403</v>
      </c>
      <c r="B233" t="s">
        <v>13</v>
      </c>
      <c r="C233" t="s">
        <v>1404</v>
      </c>
      <c r="D233" t="s">
        <v>1405</v>
      </c>
      <c r="E233" t="s">
        <v>1406</v>
      </c>
      <c r="F233" t="s">
        <v>16</v>
      </c>
      <c r="G233" s="2">
        <v>44671</v>
      </c>
      <c r="H233">
        <v>2016</v>
      </c>
      <c r="I233" t="s">
        <v>26</v>
      </c>
      <c r="J233" t="s">
        <v>231</v>
      </c>
      <c r="K233" t="s">
        <v>1407</v>
      </c>
      <c r="L233" t="s">
        <v>1408</v>
      </c>
    </row>
    <row r="234" spans="1:12" x14ac:dyDescent="0.3">
      <c r="A234" t="s">
        <v>1410</v>
      </c>
      <c r="B234" t="s">
        <v>13</v>
      </c>
      <c r="C234" t="s">
        <v>1411</v>
      </c>
      <c r="D234" t="s">
        <v>1412</v>
      </c>
      <c r="E234" t="s">
        <v>1413</v>
      </c>
      <c r="F234" t="s">
        <v>16</v>
      </c>
      <c r="G234" s="2">
        <v>44672</v>
      </c>
      <c r="H234">
        <v>1981</v>
      </c>
      <c r="I234" t="s">
        <v>264</v>
      </c>
      <c r="J234" t="s">
        <v>174</v>
      </c>
      <c r="K234" t="s">
        <v>1414</v>
      </c>
      <c r="L234" t="s">
        <v>1415</v>
      </c>
    </row>
    <row r="235" spans="1:12" x14ac:dyDescent="0.3">
      <c r="A235" t="s">
        <v>1416</v>
      </c>
      <c r="B235" t="s">
        <v>22</v>
      </c>
      <c r="C235" t="s">
        <v>1417</v>
      </c>
      <c r="D235" t="s">
        <v>2963</v>
      </c>
      <c r="E235" t="s">
        <v>1418</v>
      </c>
      <c r="F235" t="s">
        <v>16</v>
      </c>
      <c r="G235" s="2">
        <v>44673</v>
      </c>
      <c r="H235">
        <v>2018</v>
      </c>
      <c r="I235" t="s">
        <v>26</v>
      </c>
      <c r="J235" t="s">
        <v>297</v>
      </c>
      <c r="K235" t="s">
        <v>1419</v>
      </c>
      <c r="L235" t="s">
        <v>1420</v>
      </c>
    </row>
    <row r="236" spans="1:12" x14ac:dyDescent="0.3">
      <c r="A236" t="s">
        <v>1421</v>
      </c>
      <c r="B236" t="s">
        <v>22</v>
      </c>
      <c r="C236" t="s">
        <v>1422</v>
      </c>
      <c r="D236" t="s">
        <v>2963</v>
      </c>
      <c r="E236" t="s">
        <v>1423</v>
      </c>
      <c r="F236" t="s">
        <v>16</v>
      </c>
      <c r="G236" s="2">
        <v>44674</v>
      </c>
      <c r="H236">
        <v>2016</v>
      </c>
      <c r="I236" t="s">
        <v>26</v>
      </c>
      <c r="J236" t="s">
        <v>34</v>
      </c>
      <c r="K236" t="s">
        <v>1424</v>
      </c>
      <c r="L236" t="s">
        <v>1425</v>
      </c>
    </row>
    <row r="237" spans="1:12" x14ac:dyDescent="0.3">
      <c r="A237" t="s">
        <v>1426</v>
      </c>
      <c r="B237" t="s">
        <v>22</v>
      </c>
      <c r="C237" t="s">
        <v>1427</v>
      </c>
      <c r="D237" t="s">
        <v>2963</v>
      </c>
      <c r="E237" t="s">
        <v>1428</v>
      </c>
      <c r="F237" t="s">
        <v>16</v>
      </c>
      <c r="G237" s="2">
        <v>44675</v>
      </c>
      <c r="H237">
        <v>2019</v>
      </c>
      <c r="I237" t="s">
        <v>26</v>
      </c>
      <c r="J237" t="s">
        <v>194</v>
      </c>
      <c r="K237" t="s">
        <v>1429</v>
      </c>
      <c r="L237" t="s">
        <v>1430</v>
      </c>
    </row>
    <row r="238" spans="1:12" x14ac:dyDescent="0.3">
      <c r="A238" t="s">
        <v>1432</v>
      </c>
      <c r="B238" t="s">
        <v>13</v>
      </c>
      <c r="C238" t="s">
        <v>1433</v>
      </c>
      <c r="D238" t="s">
        <v>1030</v>
      </c>
      <c r="E238" t="s">
        <v>1434</v>
      </c>
      <c r="F238" t="s">
        <v>16</v>
      </c>
      <c r="G238" s="2">
        <v>44676</v>
      </c>
      <c r="H238">
        <v>2021</v>
      </c>
      <c r="I238" t="s">
        <v>74</v>
      </c>
      <c r="J238" t="s">
        <v>652</v>
      </c>
      <c r="K238" t="s">
        <v>1435</v>
      </c>
      <c r="L238" t="s">
        <v>1436</v>
      </c>
    </row>
    <row r="239" spans="1:12" x14ac:dyDescent="0.3">
      <c r="A239" t="s">
        <v>1437</v>
      </c>
      <c r="B239" t="s">
        <v>22</v>
      </c>
      <c r="C239" t="s">
        <v>1438</v>
      </c>
      <c r="D239" t="s">
        <v>2963</v>
      </c>
      <c r="E239" t="s">
        <v>2963</v>
      </c>
      <c r="F239" t="s">
        <v>16</v>
      </c>
      <c r="G239" s="2">
        <v>44677</v>
      </c>
      <c r="H239">
        <v>2021</v>
      </c>
      <c r="I239" t="s">
        <v>26</v>
      </c>
      <c r="J239" t="s">
        <v>34</v>
      </c>
      <c r="K239" t="s">
        <v>1439</v>
      </c>
      <c r="L239" t="s">
        <v>1440</v>
      </c>
    </row>
    <row r="240" spans="1:12" x14ac:dyDescent="0.3">
      <c r="A240" t="s">
        <v>1442</v>
      </c>
      <c r="B240" t="s">
        <v>13</v>
      </c>
      <c r="C240" t="s">
        <v>1443</v>
      </c>
      <c r="D240" t="s">
        <v>1444</v>
      </c>
      <c r="E240" t="s">
        <v>1445</v>
      </c>
      <c r="F240" t="s">
        <v>16</v>
      </c>
      <c r="G240" s="2">
        <v>44678</v>
      </c>
      <c r="H240">
        <v>2012</v>
      </c>
      <c r="I240" t="s">
        <v>100</v>
      </c>
      <c r="J240" t="s">
        <v>652</v>
      </c>
      <c r="K240" t="s">
        <v>1446</v>
      </c>
      <c r="L240" t="s">
        <v>1447</v>
      </c>
    </row>
    <row r="241" spans="1:12" x14ac:dyDescent="0.3">
      <c r="A241" t="s">
        <v>1448</v>
      </c>
      <c r="B241" t="s">
        <v>13</v>
      </c>
      <c r="C241" t="s">
        <v>1449</v>
      </c>
      <c r="D241" t="s">
        <v>1450</v>
      </c>
      <c r="E241" t="s">
        <v>1451</v>
      </c>
      <c r="F241" t="s">
        <v>16</v>
      </c>
      <c r="G241" s="2">
        <v>44679</v>
      </c>
      <c r="H241">
        <v>1964</v>
      </c>
      <c r="I241" t="s">
        <v>414</v>
      </c>
      <c r="J241" t="s">
        <v>1452</v>
      </c>
      <c r="K241" t="s">
        <v>1453</v>
      </c>
      <c r="L241" t="s">
        <v>1454</v>
      </c>
    </row>
    <row r="242" spans="1:12" x14ac:dyDescent="0.3">
      <c r="A242" t="s">
        <v>1455</v>
      </c>
      <c r="B242" t="s">
        <v>22</v>
      </c>
      <c r="C242" t="s">
        <v>1456</v>
      </c>
      <c r="D242" t="s">
        <v>2963</v>
      </c>
      <c r="E242" t="s">
        <v>1457</v>
      </c>
      <c r="F242" t="s">
        <v>16</v>
      </c>
      <c r="G242" s="2">
        <v>44680</v>
      </c>
      <c r="H242">
        <v>2021</v>
      </c>
      <c r="I242" t="s">
        <v>26</v>
      </c>
      <c r="J242" t="s">
        <v>27</v>
      </c>
      <c r="K242" t="s">
        <v>1458</v>
      </c>
      <c r="L242" t="s">
        <v>1459</v>
      </c>
    </row>
    <row r="243" spans="1:12" x14ac:dyDescent="0.3">
      <c r="A243" t="s">
        <v>1461</v>
      </c>
      <c r="B243" t="s">
        <v>13</v>
      </c>
      <c r="C243" t="s">
        <v>1462</v>
      </c>
      <c r="D243" t="s">
        <v>1463</v>
      </c>
      <c r="E243" t="s">
        <v>1464</v>
      </c>
      <c r="F243" t="s">
        <v>16</v>
      </c>
      <c r="G243" s="2">
        <v>44681</v>
      </c>
      <c r="H243">
        <v>2021</v>
      </c>
      <c r="I243" t="s">
        <v>100</v>
      </c>
      <c r="J243" t="s">
        <v>257</v>
      </c>
      <c r="K243" t="s">
        <v>1465</v>
      </c>
      <c r="L243" t="s">
        <v>1466</v>
      </c>
    </row>
    <row r="244" spans="1:12" x14ac:dyDescent="0.3">
      <c r="A244" t="s">
        <v>1468</v>
      </c>
      <c r="B244" t="s">
        <v>22</v>
      </c>
      <c r="C244" t="s">
        <v>1469</v>
      </c>
      <c r="D244" t="s">
        <v>1470</v>
      </c>
      <c r="E244" t="s">
        <v>1471</v>
      </c>
      <c r="F244" t="s">
        <v>16</v>
      </c>
      <c r="G244" s="2">
        <v>44682</v>
      </c>
      <c r="H244">
        <v>2021</v>
      </c>
      <c r="I244" t="s">
        <v>74</v>
      </c>
      <c r="J244" t="s">
        <v>297</v>
      </c>
      <c r="K244" t="s">
        <v>1472</v>
      </c>
      <c r="L244" t="s">
        <v>1473</v>
      </c>
    </row>
    <row r="245" spans="1:12" x14ac:dyDescent="0.3">
      <c r="A245" t="s">
        <v>1474</v>
      </c>
      <c r="B245" t="s">
        <v>13</v>
      </c>
      <c r="C245" t="s">
        <v>1475</v>
      </c>
      <c r="D245" t="s">
        <v>1476</v>
      </c>
      <c r="E245" t="s">
        <v>1477</v>
      </c>
      <c r="F245" t="s">
        <v>16</v>
      </c>
      <c r="G245" s="2">
        <v>44683</v>
      </c>
      <c r="H245">
        <v>2014</v>
      </c>
      <c r="I245" t="s">
        <v>17</v>
      </c>
      <c r="J245" t="s">
        <v>778</v>
      </c>
      <c r="K245" t="s">
        <v>1478</v>
      </c>
      <c r="L245" t="s">
        <v>1479</v>
      </c>
    </row>
    <row r="246" spans="1:12" x14ac:dyDescent="0.3">
      <c r="A246" t="s">
        <v>1480</v>
      </c>
      <c r="B246" t="s">
        <v>22</v>
      </c>
      <c r="C246" t="s">
        <v>1481</v>
      </c>
      <c r="D246" t="s">
        <v>2963</v>
      </c>
      <c r="E246" t="s">
        <v>1482</v>
      </c>
      <c r="F246" t="s">
        <v>16</v>
      </c>
      <c r="G246" s="2">
        <v>44684</v>
      </c>
      <c r="H246">
        <v>2021</v>
      </c>
      <c r="I246" t="s">
        <v>26</v>
      </c>
      <c r="J246" t="s">
        <v>34</v>
      </c>
      <c r="K246" t="s">
        <v>1483</v>
      </c>
      <c r="L246" t="s">
        <v>1484</v>
      </c>
    </row>
    <row r="247" spans="1:12" x14ac:dyDescent="0.3">
      <c r="A247" t="s">
        <v>1485</v>
      </c>
      <c r="B247" t="s">
        <v>22</v>
      </c>
      <c r="C247" t="s">
        <v>1486</v>
      </c>
      <c r="D247" t="s">
        <v>2963</v>
      </c>
      <c r="E247" t="s">
        <v>1487</v>
      </c>
      <c r="F247" t="s">
        <v>16</v>
      </c>
      <c r="G247" s="2">
        <v>44685</v>
      </c>
      <c r="H247">
        <v>2021</v>
      </c>
      <c r="I247" t="s">
        <v>307</v>
      </c>
      <c r="J247" t="s">
        <v>34</v>
      </c>
      <c r="K247" t="s">
        <v>1488</v>
      </c>
      <c r="L247" t="s">
        <v>1489</v>
      </c>
    </row>
    <row r="248" spans="1:12" x14ac:dyDescent="0.3">
      <c r="A248" t="s">
        <v>1490</v>
      </c>
      <c r="B248" t="s">
        <v>22</v>
      </c>
      <c r="C248" t="s">
        <v>1491</v>
      </c>
      <c r="D248" t="s">
        <v>2963</v>
      </c>
      <c r="E248" t="s">
        <v>1492</v>
      </c>
      <c r="F248" t="s">
        <v>16</v>
      </c>
      <c r="G248" s="2">
        <v>44686</v>
      </c>
      <c r="H248">
        <v>2021</v>
      </c>
      <c r="I248" t="s">
        <v>26</v>
      </c>
      <c r="J248" t="s">
        <v>27</v>
      </c>
      <c r="K248" t="s">
        <v>1493</v>
      </c>
      <c r="L248" t="s">
        <v>1494</v>
      </c>
    </row>
    <row r="249" spans="1:12" x14ac:dyDescent="0.3">
      <c r="A249" t="s">
        <v>1495</v>
      </c>
      <c r="B249" t="s">
        <v>13</v>
      </c>
      <c r="C249" t="s">
        <v>1496</v>
      </c>
      <c r="D249" t="s">
        <v>1497</v>
      </c>
      <c r="E249" t="s">
        <v>1498</v>
      </c>
      <c r="F249" t="s">
        <v>16</v>
      </c>
      <c r="G249" s="2">
        <v>44687</v>
      </c>
      <c r="H249">
        <v>2020</v>
      </c>
      <c r="I249" t="s">
        <v>26</v>
      </c>
      <c r="J249" t="s">
        <v>289</v>
      </c>
      <c r="K249" t="s">
        <v>1499</v>
      </c>
      <c r="L249" t="s">
        <v>1500</v>
      </c>
    </row>
    <row r="250" spans="1:12" x14ac:dyDescent="0.3">
      <c r="A250" t="s">
        <v>1501</v>
      </c>
      <c r="B250" t="s">
        <v>22</v>
      </c>
      <c r="C250" t="s">
        <v>1502</v>
      </c>
      <c r="D250" t="s">
        <v>2963</v>
      </c>
      <c r="E250" t="s">
        <v>1503</v>
      </c>
      <c r="F250" t="s">
        <v>16</v>
      </c>
      <c r="G250" s="2">
        <v>44688</v>
      </c>
      <c r="H250">
        <v>2021</v>
      </c>
      <c r="I250" t="s">
        <v>205</v>
      </c>
      <c r="J250" t="s">
        <v>110</v>
      </c>
      <c r="K250" t="s">
        <v>1504</v>
      </c>
      <c r="L250" t="s">
        <v>1505</v>
      </c>
    </row>
    <row r="251" spans="1:12" x14ac:dyDescent="0.3">
      <c r="A251" t="s">
        <v>1506</v>
      </c>
      <c r="B251" t="s">
        <v>13</v>
      </c>
      <c r="C251" t="s">
        <v>1507</v>
      </c>
      <c r="D251" t="s">
        <v>1508</v>
      </c>
      <c r="E251" t="s">
        <v>1509</v>
      </c>
      <c r="F251" t="s">
        <v>16</v>
      </c>
      <c r="G251" s="2">
        <v>44689</v>
      </c>
      <c r="H251">
        <v>2021</v>
      </c>
      <c r="I251" t="s">
        <v>17</v>
      </c>
      <c r="J251" t="s">
        <v>593</v>
      </c>
      <c r="K251" t="s">
        <v>1510</v>
      </c>
      <c r="L251" t="s">
        <v>1511</v>
      </c>
    </row>
    <row r="252" spans="1:12" x14ac:dyDescent="0.3">
      <c r="A252" t="s">
        <v>1513</v>
      </c>
      <c r="B252" t="s">
        <v>22</v>
      </c>
      <c r="C252" t="s">
        <v>1514</v>
      </c>
      <c r="D252" t="s">
        <v>2963</v>
      </c>
      <c r="E252" t="s">
        <v>1515</v>
      </c>
      <c r="F252" t="s">
        <v>16</v>
      </c>
      <c r="G252" s="2">
        <v>44690</v>
      </c>
      <c r="H252">
        <v>2021</v>
      </c>
      <c r="I252" t="s">
        <v>74</v>
      </c>
      <c r="J252" t="s">
        <v>27</v>
      </c>
      <c r="K252" t="s">
        <v>1516</v>
      </c>
      <c r="L252" t="s">
        <v>1517</v>
      </c>
    </row>
    <row r="253" spans="1:12" x14ac:dyDescent="0.3">
      <c r="A253" t="s">
        <v>1518</v>
      </c>
      <c r="B253" t="s">
        <v>13</v>
      </c>
      <c r="C253" t="s">
        <v>1519</v>
      </c>
      <c r="D253" t="s">
        <v>1520</v>
      </c>
      <c r="E253" t="s">
        <v>1521</v>
      </c>
      <c r="F253" t="s">
        <v>16</v>
      </c>
      <c r="G253" s="2">
        <v>44691</v>
      </c>
      <c r="H253">
        <v>2021</v>
      </c>
      <c r="I253" t="s">
        <v>264</v>
      </c>
      <c r="J253" t="s">
        <v>458</v>
      </c>
      <c r="K253" t="s">
        <v>1522</v>
      </c>
      <c r="L253" t="s">
        <v>1523</v>
      </c>
    </row>
    <row r="254" spans="1:12" x14ac:dyDescent="0.3">
      <c r="A254" t="s">
        <v>1524</v>
      </c>
      <c r="B254" t="s">
        <v>22</v>
      </c>
      <c r="C254" t="s">
        <v>1525</v>
      </c>
      <c r="D254" t="s">
        <v>2963</v>
      </c>
      <c r="E254" t="s">
        <v>1526</v>
      </c>
      <c r="F254" t="s">
        <v>16</v>
      </c>
      <c r="G254" s="2">
        <v>44692</v>
      </c>
      <c r="H254">
        <v>2021</v>
      </c>
      <c r="I254" t="s">
        <v>74</v>
      </c>
      <c r="J254" t="s">
        <v>110</v>
      </c>
      <c r="K254" t="s">
        <v>1527</v>
      </c>
      <c r="L254" t="s">
        <v>1528</v>
      </c>
    </row>
    <row r="255" spans="1:12" x14ac:dyDescent="0.3">
      <c r="A255" t="s">
        <v>1530</v>
      </c>
      <c r="B255" t="s">
        <v>22</v>
      </c>
      <c r="C255" t="s">
        <v>1531</v>
      </c>
      <c r="D255" t="s">
        <v>2963</v>
      </c>
      <c r="E255" t="s">
        <v>1532</v>
      </c>
      <c r="F255" t="s">
        <v>16</v>
      </c>
      <c r="G255" s="2">
        <v>44693</v>
      </c>
      <c r="H255">
        <v>2016</v>
      </c>
      <c r="I255" t="s">
        <v>26</v>
      </c>
      <c r="J255" t="s">
        <v>34</v>
      </c>
      <c r="K255" t="s">
        <v>1533</v>
      </c>
      <c r="L255" t="s">
        <v>1534</v>
      </c>
    </row>
    <row r="256" spans="1:12" x14ac:dyDescent="0.3">
      <c r="A256" t="s">
        <v>1535</v>
      </c>
      <c r="B256" t="s">
        <v>22</v>
      </c>
      <c r="C256" t="s">
        <v>1536</v>
      </c>
      <c r="D256" t="s">
        <v>2963</v>
      </c>
      <c r="E256" t="s">
        <v>1537</v>
      </c>
      <c r="F256" t="s">
        <v>16</v>
      </c>
      <c r="G256" s="2">
        <v>44694</v>
      </c>
      <c r="H256">
        <v>2018</v>
      </c>
      <c r="I256" t="s">
        <v>74</v>
      </c>
      <c r="J256" t="s">
        <v>34</v>
      </c>
      <c r="K256" t="s">
        <v>1538</v>
      </c>
      <c r="L256" t="s">
        <v>1539</v>
      </c>
    </row>
    <row r="257" spans="1:12" x14ac:dyDescent="0.3">
      <c r="A257" t="s">
        <v>1540</v>
      </c>
      <c r="B257" t="s">
        <v>22</v>
      </c>
      <c r="C257" t="s">
        <v>1541</v>
      </c>
      <c r="D257" t="s">
        <v>2963</v>
      </c>
      <c r="E257" t="s">
        <v>1542</v>
      </c>
      <c r="F257" t="s">
        <v>16</v>
      </c>
      <c r="G257" s="2">
        <v>44695</v>
      </c>
      <c r="H257">
        <v>2018</v>
      </c>
      <c r="I257" t="s">
        <v>74</v>
      </c>
      <c r="J257" t="s">
        <v>34</v>
      </c>
      <c r="K257" t="s">
        <v>1543</v>
      </c>
      <c r="L257" t="s">
        <v>1544</v>
      </c>
    </row>
    <row r="258" spans="1:12" x14ac:dyDescent="0.3">
      <c r="A258" t="s">
        <v>1546</v>
      </c>
      <c r="B258" t="s">
        <v>22</v>
      </c>
      <c r="C258" t="s">
        <v>1547</v>
      </c>
      <c r="D258" t="s">
        <v>2963</v>
      </c>
      <c r="E258" t="s">
        <v>1548</v>
      </c>
      <c r="F258" t="s">
        <v>16</v>
      </c>
      <c r="G258" s="2">
        <v>44696</v>
      </c>
      <c r="H258">
        <v>2019</v>
      </c>
      <c r="I258" t="s">
        <v>74</v>
      </c>
      <c r="J258" t="s">
        <v>27</v>
      </c>
      <c r="K258" t="s">
        <v>1549</v>
      </c>
      <c r="L258" t="s">
        <v>1550</v>
      </c>
    </row>
    <row r="259" spans="1:12" x14ac:dyDescent="0.3">
      <c r="A259" t="s">
        <v>1551</v>
      </c>
      <c r="B259" t="s">
        <v>13</v>
      </c>
      <c r="C259" t="s">
        <v>1552</v>
      </c>
      <c r="D259" t="s">
        <v>1553</v>
      </c>
      <c r="E259" t="s">
        <v>1554</v>
      </c>
      <c r="F259" t="s">
        <v>16</v>
      </c>
      <c r="G259" s="2">
        <v>44697</v>
      </c>
      <c r="H259">
        <v>2005</v>
      </c>
      <c r="I259" t="s">
        <v>57</v>
      </c>
      <c r="J259" t="s">
        <v>544</v>
      </c>
      <c r="K259" t="s">
        <v>1555</v>
      </c>
      <c r="L259" t="s">
        <v>1556</v>
      </c>
    </row>
    <row r="260" spans="1:12" x14ac:dyDescent="0.3">
      <c r="A260" t="s">
        <v>1557</v>
      </c>
      <c r="B260" t="s">
        <v>22</v>
      </c>
      <c r="C260" t="s">
        <v>1558</v>
      </c>
      <c r="D260" t="s">
        <v>2963</v>
      </c>
      <c r="E260" t="s">
        <v>1559</v>
      </c>
      <c r="F260" t="s">
        <v>16</v>
      </c>
      <c r="G260" s="2">
        <v>44698</v>
      </c>
      <c r="H260">
        <v>2018</v>
      </c>
      <c r="I260" t="s">
        <v>26</v>
      </c>
      <c r="J260" t="s">
        <v>110</v>
      </c>
      <c r="K260" t="s">
        <v>1560</v>
      </c>
      <c r="L260" t="s">
        <v>1561</v>
      </c>
    </row>
    <row r="261" spans="1:12" x14ac:dyDescent="0.3">
      <c r="A261" t="s">
        <v>1562</v>
      </c>
      <c r="B261" t="s">
        <v>13</v>
      </c>
      <c r="C261" t="s">
        <v>1563</v>
      </c>
      <c r="D261" t="s">
        <v>1564</v>
      </c>
      <c r="E261" t="s">
        <v>1565</v>
      </c>
      <c r="F261" t="s">
        <v>16</v>
      </c>
      <c r="G261" s="2">
        <v>44699</v>
      </c>
      <c r="H261">
        <v>2020</v>
      </c>
      <c r="I261" t="s">
        <v>26</v>
      </c>
      <c r="J261" t="s">
        <v>302</v>
      </c>
      <c r="K261" t="s">
        <v>1566</v>
      </c>
      <c r="L261" t="s">
        <v>1567</v>
      </c>
    </row>
    <row r="262" spans="1:12" x14ac:dyDescent="0.3">
      <c r="A262" t="s">
        <v>1568</v>
      </c>
      <c r="B262" t="s">
        <v>13</v>
      </c>
      <c r="C262" t="s">
        <v>1569</v>
      </c>
      <c r="D262" t="s">
        <v>1570</v>
      </c>
      <c r="E262" t="s">
        <v>1571</v>
      </c>
      <c r="F262" t="s">
        <v>16</v>
      </c>
      <c r="G262" s="2">
        <v>44700</v>
      </c>
      <c r="H262">
        <v>2016</v>
      </c>
      <c r="I262" t="s">
        <v>17</v>
      </c>
      <c r="J262" t="s">
        <v>464</v>
      </c>
      <c r="K262" t="s">
        <v>1572</v>
      </c>
      <c r="L262" t="s">
        <v>1573</v>
      </c>
    </row>
    <row r="263" spans="1:12" x14ac:dyDescent="0.3">
      <c r="A263" t="s">
        <v>1574</v>
      </c>
      <c r="B263" t="s">
        <v>22</v>
      </c>
      <c r="C263" t="s">
        <v>1575</v>
      </c>
      <c r="D263" t="s">
        <v>2963</v>
      </c>
      <c r="E263" t="s">
        <v>1576</v>
      </c>
      <c r="F263" t="s">
        <v>16</v>
      </c>
      <c r="G263" s="2">
        <v>44701</v>
      </c>
      <c r="H263">
        <v>2021</v>
      </c>
      <c r="I263" t="s">
        <v>205</v>
      </c>
      <c r="J263" t="s">
        <v>110</v>
      </c>
      <c r="K263" t="s">
        <v>1577</v>
      </c>
      <c r="L263" t="s">
        <v>1578</v>
      </c>
    </row>
    <row r="264" spans="1:12" x14ac:dyDescent="0.3">
      <c r="A264" t="s">
        <v>1579</v>
      </c>
      <c r="B264" t="s">
        <v>22</v>
      </c>
      <c r="C264" t="s">
        <v>1580</v>
      </c>
      <c r="D264" t="s">
        <v>2963</v>
      </c>
      <c r="E264" t="s">
        <v>1581</v>
      </c>
      <c r="F264" t="s">
        <v>16</v>
      </c>
      <c r="G264" s="2">
        <v>44702</v>
      </c>
      <c r="H264">
        <v>2021</v>
      </c>
      <c r="I264" t="s">
        <v>74</v>
      </c>
      <c r="J264" t="s">
        <v>194</v>
      </c>
      <c r="K264" t="s">
        <v>1582</v>
      </c>
      <c r="L264" t="s">
        <v>1583</v>
      </c>
    </row>
    <row r="265" spans="1:12" x14ac:dyDescent="0.3">
      <c r="A265" t="s">
        <v>1584</v>
      </c>
      <c r="B265" t="s">
        <v>22</v>
      </c>
      <c r="C265" t="s">
        <v>1585</v>
      </c>
      <c r="D265" t="s">
        <v>1586</v>
      </c>
      <c r="E265" t="s">
        <v>1587</v>
      </c>
      <c r="F265" t="s">
        <v>16</v>
      </c>
      <c r="G265" s="2">
        <v>44703</v>
      </c>
      <c r="H265">
        <v>2020</v>
      </c>
      <c r="I265" t="s">
        <v>26</v>
      </c>
      <c r="J265" t="s">
        <v>110</v>
      </c>
      <c r="K265" t="s">
        <v>1588</v>
      </c>
      <c r="L265" t="s">
        <v>1589</v>
      </c>
    </row>
    <row r="266" spans="1:12" x14ac:dyDescent="0.3">
      <c r="A266" t="s">
        <v>1590</v>
      </c>
      <c r="B266" t="s">
        <v>22</v>
      </c>
      <c r="C266" t="s">
        <v>1591</v>
      </c>
      <c r="D266" t="s">
        <v>1592</v>
      </c>
      <c r="E266" t="s">
        <v>1593</v>
      </c>
      <c r="F266" t="s">
        <v>16</v>
      </c>
      <c r="G266" s="2">
        <v>44704</v>
      </c>
      <c r="H266">
        <v>2021</v>
      </c>
      <c r="I266" t="s">
        <v>74</v>
      </c>
      <c r="J266" t="s">
        <v>27</v>
      </c>
      <c r="K266" t="s">
        <v>1594</v>
      </c>
      <c r="L266" t="s">
        <v>1595</v>
      </c>
    </row>
    <row r="267" spans="1:12" x14ac:dyDescent="0.3">
      <c r="A267" t="s">
        <v>1596</v>
      </c>
      <c r="B267" t="s">
        <v>22</v>
      </c>
      <c r="C267" t="s">
        <v>1597</v>
      </c>
      <c r="D267" t="s">
        <v>2963</v>
      </c>
      <c r="E267" t="s">
        <v>1598</v>
      </c>
      <c r="F267" t="s">
        <v>16</v>
      </c>
      <c r="G267" s="2">
        <v>44705</v>
      </c>
      <c r="H267">
        <v>2021</v>
      </c>
      <c r="I267" t="s">
        <v>26</v>
      </c>
      <c r="J267" t="s">
        <v>34</v>
      </c>
      <c r="K267" t="s">
        <v>1599</v>
      </c>
      <c r="L267" t="s">
        <v>1600</v>
      </c>
    </row>
    <row r="268" spans="1:12" x14ac:dyDescent="0.3">
      <c r="A268" t="s">
        <v>1601</v>
      </c>
      <c r="B268" t="s">
        <v>13</v>
      </c>
      <c r="C268" t="s">
        <v>1602</v>
      </c>
      <c r="D268" t="s">
        <v>1104</v>
      </c>
      <c r="E268" t="s">
        <v>1603</v>
      </c>
      <c r="F268" t="s">
        <v>16</v>
      </c>
      <c r="G268" s="2">
        <v>44706</v>
      </c>
      <c r="H268">
        <v>2012</v>
      </c>
      <c r="I268" t="s">
        <v>17</v>
      </c>
      <c r="J268" t="s">
        <v>184</v>
      </c>
      <c r="K268" t="s">
        <v>1604</v>
      </c>
      <c r="L268" t="s">
        <v>1605</v>
      </c>
    </row>
    <row r="269" spans="1:12" x14ac:dyDescent="0.3">
      <c r="A269" t="s">
        <v>1606</v>
      </c>
      <c r="B269" t="s">
        <v>22</v>
      </c>
      <c r="C269" t="s">
        <v>1607</v>
      </c>
      <c r="D269" t="s">
        <v>2963</v>
      </c>
      <c r="E269" t="s">
        <v>1608</v>
      </c>
      <c r="F269" t="s">
        <v>16</v>
      </c>
      <c r="G269" s="2">
        <v>44707</v>
      </c>
      <c r="H269">
        <v>2021</v>
      </c>
      <c r="I269" t="s">
        <v>74</v>
      </c>
      <c r="J269" t="s">
        <v>194</v>
      </c>
      <c r="K269" t="s">
        <v>1609</v>
      </c>
      <c r="L269" t="s">
        <v>1610</v>
      </c>
    </row>
    <row r="270" spans="1:12" x14ac:dyDescent="0.3">
      <c r="A270" t="s">
        <v>1611</v>
      </c>
      <c r="B270" t="s">
        <v>13</v>
      </c>
      <c r="C270" t="s">
        <v>1612</v>
      </c>
      <c r="D270" t="s">
        <v>1613</v>
      </c>
      <c r="E270" t="s">
        <v>1614</v>
      </c>
      <c r="F270" t="s">
        <v>16</v>
      </c>
      <c r="G270" s="2">
        <v>44708</v>
      </c>
      <c r="H270">
        <v>2020</v>
      </c>
      <c r="I270" t="s">
        <v>149</v>
      </c>
      <c r="J270" t="s">
        <v>58</v>
      </c>
      <c r="K270" t="s">
        <v>1615</v>
      </c>
      <c r="L270" t="s">
        <v>1616</v>
      </c>
    </row>
    <row r="271" spans="1:12" x14ac:dyDescent="0.3">
      <c r="A271" t="s">
        <v>1617</v>
      </c>
      <c r="B271" t="s">
        <v>13</v>
      </c>
      <c r="C271" t="s">
        <v>1618</v>
      </c>
      <c r="D271" t="s">
        <v>1619</v>
      </c>
      <c r="E271" t="s">
        <v>1620</v>
      </c>
      <c r="F271" t="s">
        <v>16</v>
      </c>
      <c r="G271" s="2">
        <v>44709</v>
      </c>
      <c r="H271">
        <v>2007</v>
      </c>
      <c r="I271" t="s">
        <v>264</v>
      </c>
      <c r="J271" t="s">
        <v>846</v>
      </c>
      <c r="K271" t="s">
        <v>1621</v>
      </c>
      <c r="L271" t="s">
        <v>1622</v>
      </c>
    </row>
    <row r="272" spans="1:12" x14ac:dyDescent="0.3">
      <c r="A272" t="s">
        <v>1623</v>
      </c>
      <c r="B272" t="s">
        <v>22</v>
      </c>
      <c r="C272" t="s">
        <v>1624</v>
      </c>
      <c r="D272" t="s">
        <v>2963</v>
      </c>
      <c r="E272" t="s">
        <v>1625</v>
      </c>
      <c r="F272" t="s">
        <v>16</v>
      </c>
      <c r="G272" s="2">
        <v>44710</v>
      </c>
      <c r="H272">
        <v>2017</v>
      </c>
      <c r="I272" t="s">
        <v>26</v>
      </c>
      <c r="J272" t="s">
        <v>34</v>
      </c>
      <c r="K272" t="s">
        <v>1626</v>
      </c>
      <c r="L272" t="s">
        <v>1627</v>
      </c>
    </row>
    <row r="273" spans="1:12" x14ac:dyDescent="0.3">
      <c r="A273" t="s">
        <v>1629</v>
      </c>
      <c r="B273" t="s">
        <v>13</v>
      </c>
      <c r="C273" t="s">
        <v>1630</v>
      </c>
      <c r="D273" t="s">
        <v>1631</v>
      </c>
      <c r="E273" t="s">
        <v>1632</v>
      </c>
      <c r="F273" t="s">
        <v>16</v>
      </c>
      <c r="G273" s="2">
        <v>44711</v>
      </c>
      <c r="H273">
        <v>2017</v>
      </c>
      <c r="I273" t="s">
        <v>26</v>
      </c>
      <c r="J273" t="s">
        <v>304</v>
      </c>
      <c r="K273" t="s">
        <v>1633</v>
      </c>
      <c r="L273" t="s">
        <v>1634</v>
      </c>
    </row>
    <row r="274" spans="1:12" x14ac:dyDescent="0.3">
      <c r="A274" t="s">
        <v>1635</v>
      </c>
      <c r="B274" t="s">
        <v>22</v>
      </c>
      <c r="C274" t="s">
        <v>1636</v>
      </c>
      <c r="D274" t="s">
        <v>2963</v>
      </c>
      <c r="E274" t="s">
        <v>1637</v>
      </c>
      <c r="F274" t="s">
        <v>16</v>
      </c>
      <c r="G274" s="2">
        <v>44712</v>
      </c>
      <c r="H274">
        <v>2020</v>
      </c>
      <c r="I274" t="s">
        <v>74</v>
      </c>
      <c r="J274" t="s">
        <v>110</v>
      </c>
      <c r="K274" t="s">
        <v>1638</v>
      </c>
      <c r="L274" t="s">
        <v>1639</v>
      </c>
    </row>
    <row r="275" spans="1:12" x14ac:dyDescent="0.3">
      <c r="A275" t="s">
        <v>1640</v>
      </c>
      <c r="B275" t="s">
        <v>13</v>
      </c>
      <c r="C275" t="s">
        <v>1641</v>
      </c>
      <c r="D275" t="s">
        <v>1642</v>
      </c>
      <c r="E275" t="s">
        <v>1643</v>
      </c>
      <c r="F275" t="s">
        <v>16</v>
      </c>
      <c r="G275" s="2">
        <v>44713</v>
      </c>
      <c r="H275">
        <v>2020</v>
      </c>
      <c r="I275" t="s">
        <v>100</v>
      </c>
      <c r="J275" t="s">
        <v>250</v>
      </c>
      <c r="K275" t="s">
        <v>1644</v>
      </c>
      <c r="L275" t="s">
        <v>1645</v>
      </c>
    </row>
    <row r="276" spans="1:12" x14ac:dyDescent="0.3">
      <c r="A276" t="s">
        <v>1646</v>
      </c>
      <c r="B276" t="s">
        <v>22</v>
      </c>
      <c r="C276" t="s">
        <v>1647</v>
      </c>
      <c r="D276" t="s">
        <v>2963</v>
      </c>
      <c r="E276" t="s">
        <v>1648</v>
      </c>
      <c r="F276" t="s">
        <v>16</v>
      </c>
      <c r="G276" s="2">
        <v>44714</v>
      </c>
      <c r="H276">
        <v>2020</v>
      </c>
      <c r="I276" t="s">
        <v>26</v>
      </c>
      <c r="J276" t="s">
        <v>34</v>
      </c>
      <c r="K276" t="s">
        <v>1649</v>
      </c>
      <c r="L276" t="s">
        <v>1650</v>
      </c>
    </row>
    <row r="277" spans="1:12" x14ac:dyDescent="0.3">
      <c r="A277" t="s">
        <v>1651</v>
      </c>
      <c r="B277" t="s">
        <v>22</v>
      </c>
      <c r="C277" t="s">
        <v>1652</v>
      </c>
      <c r="D277" t="s">
        <v>2963</v>
      </c>
      <c r="E277" t="s">
        <v>1653</v>
      </c>
      <c r="F277" t="s">
        <v>16</v>
      </c>
      <c r="G277" s="2">
        <v>44715</v>
      </c>
      <c r="H277">
        <v>2018</v>
      </c>
      <c r="I277" t="s">
        <v>74</v>
      </c>
      <c r="J277" t="s">
        <v>75</v>
      </c>
      <c r="K277" t="s">
        <v>1654</v>
      </c>
      <c r="L277" t="s">
        <v>1655</v>
      </c>
    </row>
    <row r="278" spans="1:12" x14ac:dyDescent="0.3">
      <c r="A278" t="s">
        <v>1656</v>
      </c>
      <c r="B278" t="s">
        <v>13</v>
      </c>
      <c r="C278" t="s">
        <v>1657</v>
      </c>
      <c r="D278" t="s">
        <v>1658</v>
      </c>
      <c r="E278" t="s">
        <v>1659</v>
      </c>
      <c r="F278" t="s">
        <v>16</v>
      </c>
      <c r="G278" s="2">
        <v>44716</v>
      </c>
      <c r="H278">
        <v>2012</v>
      </c>
      <c r="I278" t="s">
        <v>74</v>
      </c>
      <c r="J278" t="s">
        <v>303</v>
      </c>
      <c r="K278" t="s">
        <v>1660</v>
      </c>
      <c r="L278" t="s">
        <v>1661</v>
      </c>
    </row>
    <row r="279" spans="1:12" x14ac:dyDescent="0.3">
      <c r="A279" t="s">
        <v>1662</v>
      </c>
      <c r="B279" t="s">
        <v>13</v>
      </c>
      <c r="C279" t="s">
        <v>1663</v>
      </c>
      <c r="D279" t="s">
        <v>1664</v>
      </c>
      <c r="E279" t="s">
        <v>1665</v>
      </c>
      <c r="F279" t="s">
        <v>16</v>
      </c>
      <c r="G279" s="2">
        <v>44717</v>
      </c>
      <c r="H279">
        <v>2020</v>
      </c>
      <c r="I279" t="s">
        <v>74</v>
      </c>
      <c r="J279" t="s">
        <v>1666</v>
      </c>
      <c r="K279" t="s">
        <v>1667</v>
      </c>
      <c r="L279" t="s">
        <v>1668</v>
      </c>
    </row>
    <row r="280" spans="1:12" x14ac:dyDescent="0.3">
      <c r="A280" t="s">
        <v>1669</v>
      </c>
      <c r="B280" t="s">
        <v>22</v>
      </c>
      <c r="C280" t="s">
        <v>1670</v>
      </c>
      <c r="D280" t="s">
        <v>2963</v>
      </c>
      <c r="E280" t="s">
        <v>1671</v>
      </c>
      <c r="F280" t="s">
        <v>16</v>
      </c>
      <c r="G280" s="2">
        <v>44718</v>
      </c>
      <c r="H280">
        <v>2016</v>
      </c>
      <c r="I280" t="s">
        <v>149</v>
      </c>
      <c r="J280" t="s">
        <v>27</v>
      </c>
      <c r="K280" t="s">
        <v>1672</v>
      </c>
      <c r="L280" t="s">
        <v>1673</v>
      </c>
    </row>
    <row r="281" spans="1:12" x14ac:dyDescent="0.3">
      <c r="A281" t="s">
        <v>1674</v>
      </c>
      <c r="B281" t="s">
        <v>22</v>
      </c>
      <c r="C281" t="s">
        <v>1675</v>
      </c>
      <c r="D281" t="s">
        <v>1676</v>
      </c>
      <c r="E281" t="s">
        <v>2963</v>
      </c>
      <c r="F281" t="s">
        <v>16</v>
      </c>
      <c r="G281" s="2">
        <v>44719</v>
      </c>
      <c r="H281">
        <v>2020</v>
      </c>
      <c r="I281" t="s">
        <v>26</v>
      </c>
      <c r="J281" t="s">
        <v>34</v>
      </c>
      <c r="K281" t="s">
        <v>1677</v>
      </c>
      <c r="L281" t="s">
        <v>1678</v>
      </c>
    </row>
    <row r="282" spans="1:12" x14ac:dyDescent="0.3">
      <c r="A282" t="s">
        <v>1680</v>
      </c>
      <c r="B282" t="s">
        <v>13</v>
      </c>
      <c r="C282" t="s">
        <v>1681</v>
      </c>
      <c r="D282" t="s">
        <v>1682</v>
      </c>
      <c r="E282" t="s">
        <v>1683</v>
      </c>
      <c r="F282" t="s">
        <v>16</v>
      </c>
      <c r="G282" s="2">
        <v>44720</v>
      </c>
      <c r="H282">
        <v>2018</v>
      </c>
      <c r="I282" t="s">
        <v>264</v>
      </c>
      <c r="J282" t="s">
        <v>184</v>
      </c>
      <c r="K282" t="s">
        <v>1684</v>
      </c>
      <c r="L282" t="s">
        <v>1685</v>
      </c>
    </row>
    <row r="283" spans="1:12" x14ac:dyDescent="0.3">
      <c r="A283" t="s">
        <v>1687</v>
      </c>
      <c r="B283" t="s">
        <v>22</v>
      </c>
      <c r="C283" t="s">
        <v>1688</v>
      </c>
      <c r="D283" t="s">
        <v>2963</v>
      </c>
      <c r="E283" t="s">
        <v>1689</v>
      </c>
      <c r="F283" t="s">
        <v>16</v>
      </c>
      <c r="G283" s="2">
        <v>44721</v>
      </c>
      <c r="H283">
        <v>2020</v>
      </c>
      <c r="I283" t="s">
        <v>26</v>
      </c>
      <c r="J283" t="s">
        <v>34</v>
      </c>
      <c r="K283" t="s">
        <v>1690</v>
      </c>
      <c r="L283" t="s">
        <v>1691</v>
      </c>
    </row>
    <row r="284" spans="1:12" x14ac:dyDescent="0.3">
      <c r="A284" t="s">
        <v>1692</v>
      </c>
      <c r="B284" t="s">
        <v>13</v>
      </c>
      <c r="C284" t="s">
        <v>1693</v>
      </c>
      <c r="D284" t="s">
        <v>1694</v>
      </c>
      <c r="E284" t="s">
        <v>1695</v>
      </c>
      <c r="F284" t="s">
        <v>16</v>
      </c>
      <c r="G284" s="2">
        <v>44722</v>
      </c>
      <c r="H284">
        <v>2020</v>
      </c>
      <c r="I284" t="s">
        <v>17</v>
      </c>
      <c r="J284" t="s">
        <v>917</v>
      </c>
      <c r="K284" t="s">
        <v>1696</v>
      </c>
      <c r="L284" t="s">
        <v>1697</v>
      </c>
    </row>
    <row r="285" spans="1:12" x14ac:dyDescent="0.3">
      <c r="A285" t="s">
        <v>1698</v>
      </c>
      <c r="B285" t="s">
        <v>22</v>
      </c>
      <c r="C285" t="s">
        <v>1699</v>
      </c>
      <c r="D285" t="s">
        <v>2963</v>
      </c>
      <c r="E285" t="s">
        <v>1700</v>
      </c>
      <c r="F285" t="s">
        <v>16</v>
      </c>
      <c r="G285" s="2">
        <v>44723</v>
      </c>
      <c r="H285">
        <v>2020</v>
      </c>
      <c r="I285" t="s">
        <v>26</v>
      </c>
      <c r="J285" t="s">
        <v>34</v>
      </c>
      <c r="K285" t="s">
        <v>1701</v>
      </c>
      <c r="L285" t="s">
        <v>1702</v>
      </c>
    </row>
    <row r="286" spans="1:12" x14ac:dyDescent="0.3">
      <c r="A286" t="s">
        <v>1703</v>
      </c>
      <c r="B286" t="s">
        <v>22</v>
      </c>
      <c r="C286" t="s">
        <v>1704</v>
      </c>
      <c r="D286" t="s">
        <v>2963</v>
      </c>
      <c r="E286" t="s">
        <v>1705</v>
      </c>
      <c r="F286" t="s">
        <v>16</v>
      </c>
      <c r="G286" s="2">
        <v>44724</v>
      </c>
      <c r="H286">
        <v>2020</v>
      </c>
      <c r="I286" t="s">
        <v>100</v>
      </c>
      <c r="J286" t="s">
        <v>194</v>
      </c>
      <c r="K286" t="s">
        <v>1706</v>
      </c>
      <c r="L286" t="s">
        <v>1707</v>
      </c>
    </row>
    <row r="287" spans="1:12" x14ac:dyDescent="0.3">
      <c r="A287" t="s">
        <v>1708</v>
      </c>
      <c r="B287" t="s">
        <v>22</v>
      </c>
      <c r="C287" t="s">
        <v>1709</v>
      </c>
      <c r="D287" t="s">
        <v>1710</v>
      </c>
      <c r="E287" t="s">
        <v>1711</v>
      </c>
      <c r="F287" t="s">
        <v>16</v>
      </c>
      <c r="G287" s="2">
        <v>44725</v>
      </c>
      <c r="H287">
        <v>2020</v>
      </c>
      <c r="I287" t="s">
        <v>26</v>
      </c>
      <c r="J287" t="s">
        <v>34</v>
      </c>
      <c r="K287" t="s">
        <v>1712</v>
      </c>
      <c r="L287" t="s">
        <v>1713</v>
      </c>
    </row>
    <row r="288" spans="1:12" x14ac:dyDescent="0.3">
      <c r="A288" t="s">
        <v>1714</v>
      </c>
      <c r="B288" t="s">
        <v>13</v>
      </c>
      <c r="C288" t="s">
        <v>1715</v>
      </c>
      <c r="D288" t="s">
        <v>1716</v>
      </c>
      <c r="E288" t="s">
        <v>1717</v>
      </c>
      <c r="F288" t="s">
        <v>16</v>
      </c>
      <c r="G288" s="2">
        <v>44726</v>
      </c>
      <c r="H288">
        <v>2020</v>
      </c>
      <c r="I288" t="s">
        <v>26</v>
      </c>
      <c r="J288" t="s">
        <v>184</v>
      </c>
      <c r="K288" t="s">
        <v>1718</v>
      </c>
      <c r="L288" t="s">
        <v>1719</v>
      </c>
    </row>
    <row r="289" spans="1:12" x14ac:dyDescent="0.3">
      <c r="A289" t="s">
        <v>1720</v>
      </c>
      <c r="B289" t="s">
        <v>22</v>
      </c>
      <c r="C289" t="s">
        <v>1721</v>
      </c>
      <c r="D289" t="s">
        <v>2963</v>
      </c>
      <c r="E289" t="s">
        <v>1722</v>
      </c>
      <c r="F289" t="s">
        <v>16</v>
      </c>
      <c r="G289" s="2">
        <v>44727</v>
      </c>
      <c r="H289">
        <v>2006</v>
      </c>
      <c r="I289" t="s">
        <v>26</v>
      </c>
      <c r="J289" t="s">
        <v>927</v>
      </c>
      <c r="K289" t="s">
        <v>1723</v>
      </c>
      <c r="L289" t="s">
        <v>1724</v>
      </c>
    </row>
    <row r="290" spans="1:12" x14ac:dyDescent="0.3">
      <c r="A290" t="s">
        <v>1725</v>
      </c>
      <c r="B290" t="s">
        <v>22</v>
      </c>
      <c r="C290" t="s">
        <v>1726</v>
      </c>
      <c r="D290" t="s">
        <v>2963</v>
      </c>
      <c r="E290" t="s">
        <v>1727</v>
      </c>
      <c r="F290" t="s">
        <v>16</v>
      </c>
      <c r="G290" s="2">
        <v>44728</v>
      </c>
      <c r="H290">
        <v>2018</v>
      </c>
      <c r="I290" t="s">
        <v>74</v>
      </c>
      <c r="J290" t="s">
        <v>34</v>
      </c>
      <c r="K290" t="s">
        <v>1728</v>
      </c>
      <c r="L290" t="s">
        <v>1729</v>
      </c>
    </row>
    <row r="291" spans="1:12" x14ac:dyDescent="0.3">
      <c r="A291" t="s">
        <v>1730</v>
      </c>
      <c r="B291" t="s">
        <v>13</v>
      </c>
      <c r="C291" t="s">
        <v>1731</v>
      </c>
      <c r="D291" t="s">
        <v>1732</v>
      </c>
      <c r="E291" t="s">
        <v>1733</v>
      </c>
      <c r="F291" t="s">
        <v>16</v>
      </c>
      <c r="G291" s="2">
        <v>44729</v>
      </c>
      <c r="H291">
        <v>2020</v>
      </c>
      <c r="I291" t="s">
        <v>100</v>
      </c>
      <c r="J291" t="s">
        <v>905</v>
      </c>
      <c r="K291" t="s">
        <v>1734</v>
      </c>
      <c r="L291" t="s">
        <v>1735</v>
      </c>
    </row>
    <row r="292" spans="1:12" x14ac:dyDescent="0.3">
      <c r="A292" t="s">
        <v>1737</v>
      </c>
      <c r="B292" t="s">
        <v>13</v>
      </c>
      <c r="C292" t="s">
        <v>1738</v>
      </c>
      <c r="D292" t="s">
        <v>1739</v>
      </c>
      <c r="E292" t="s">
        <v>1740</v>
      </c>
      <c r="F292" t="s">
        <v>16</v>
      </c>
      <c r="G292" s="2">
        <v>44730</v>
      </c>
      <c r="H292">
        <v>2017</v>
      </c>
      <c r="I292" t="s">
        <v>307</v>
      </c>
      <c r="J292" t="s">
        <v>708</v>
      </c>
      <c r="K292" t="s">
        <v>1741</v>
      </c>
      <c r="L292" t="s">
        <v>1742</v>
      </c>
    </row>
    <row r="293" spans="1:12" x14ac:dyDescent="0.3">
      <c r="A293" t="s">
        <v>1743</v>
      </c>
      <c r="B293" t="s">
        <v>13</v>
      </c>
      <c r="C293" t="s">
        <v>1744</v>
      </c>
      <c r="D293" t="s">
        <v>1739</v>
      </c>
      <c r="E293" t="s">
        <v>1745</v>
      </c>
      <c r="F293" t="s">
        <v>16</v>
      </c>
      <c r="G293" s="2">
        <v>44731</v>
      </c>
      <c r="H293">
        <v>2018</v>
      </c>
      <c r="I293" t="s">
        <v>307</v>
      </c>
      <c r="J293" t="s">
        <v>708</v>
      </c>
      <c r="K293" t="s">
        <v>1746</v>
      </c>
      <c r="L293" t="s">
        <v>1747</v>
      </c>
    </row>
    <row r="294" spans="1:12" x14ac:dyDescent="0.3">
      <c r="A294" t="s">
        <v>1748</v>
      </c>
      <c r="B294" t="s">
        <v>13</v>
      </c>
      <c r="C294" t="s">
        <v>1749</v>
      </c>
      <c r="D294" t="s">
        <v>1750</v>
      </c>
      <c r="E294" t="s">
        <v>1751</v>
      </c>
      <c r="F294" t="s">
        <v>16</v>
      </c>
      <c r="G294" s="2">
        <v>44732</v>
      </c>
      <c r="H294">
        <v>1954</v>
      </c>
      <c r="I294" t="s">
        <v>307</v>
      </c>
      <c r="J294" t="s">
        <v>501</v>
      </c>
      <c r="K294" t="s">
        <v>1752</v>
      </c>
      <c r="L294" t="s">
        <v>1753</v>
      </c>
    </row>
    <row r="295" spans="1:12" x14ac:dyDescent="0.3">
      <c r="A295" t="s">
        <v>1754</v>
      </c>
      <c r="B295" t="s">
        <v>22</v>
      </c>
      <c r="C295" t="s">
        <v>1755</v>
      </c>
      <c r="D295" t="s">
        <v>2963</v>
      </c>
      <c r="E295" t="s">
        <v>1756</v>
      </c>
      <c r="F295" t="s">
        <v>16</v>
      </c>
      <c r="G295" s="2">
        <v>44733</v>
      </c>
      <c r="H295">
        <v>2020</v>
      </c>
      <c r="I295" t="s">
        <v>26</v>
      </c>
      <c r="J295" t="s">
        <v>34</v>
      </c>
      <c r="K295" t="s">
        <v>1757</v>
      </c>
      <c r="L295" t="s">
        <v>1758</v>
      </c>
    </row>
    <row r="296" spans="1:12" x14ac:dyDescent="0.3">
      <c r="A296" t="s">
        <v>1759</v>
      </c>
      <c r="B296" t="s">
        <v>13</v>
      </c>
      <c r="C296" t="s">
        <v>1760</v>
      </c>
      <c r="D296" t="s">
        <v>1761</v>
      </c>
      <c r="E296" t="s">
        <v>1762</v>
      </c>
      <c r="F296" t="s">
        <v>16</v>
      </c>
      <c r="G296" s="2">
        <v>44734</v>
      </c>
      <c r="H296">
        <v>2020</v>
      </c>
      <c r="I296" t="s">
        <v>26</v>
      </c>
      <c r="J296" t="s">
        <v>18</v>
      </c>
      <c r="K296" t="s">
        <v>1763</v>
      </c>
      <c r="L296" t="s">
        <v>1764</v>
      </c>
    </row>
    <row r="297" spans="1:12" x14ac:dyDescent="0.3">
      <c r="A297" t="s">
        <v>1765</v>
      </c>
      <c r="B297" t="s">
        <v>13</v>
      </c>
      <c r="C297" t="s">
        <v>1766</v>
      </c>
      <c r="D297" t="s">
        <v>1767</v>
      </c>
      <c r="E297" t="s">
        <v>1768</v>
      </c>
      <c r="F297" t="s">
        <v>16</v>
      </c>
      <c r="G297" s="2">
        <v>44735</v>
      </c>
      <c r="H297">
        <v>2020</v>
      </c>
      <c r="I297" t="s">
        <v>307</v>
      </c>
      <c r="J297" t="s">
        <v>231</v>
      </c>
      <c r="K297" t="s">
        <v>1769</v>
      </c>
      <c r="L297" t="s">
        <v>1770</v>
      </c>
    </row>
    <row r="298" spans="1:12" x14ac:dyDescent="0.3">
      <c r="A298" t="s">
        <v>1771</v>
      </c>
      <c r="B298" t="s">
        <v>13</v>
      </c>
      <c r="C298" t="s">
        <v>1772</v>
      </c>
      <c r="D298" t="s">
        <v>1686</v>
      </c>
      <c r="E298" t="s">
        <v>1773</v>
      </c>
      <c r="F298" t="s">
        <v>16</v>
      </c>
      <c r="G298" s="2">
        <v>44736</v>
      </c>
      <c r="H298">
        <v>2020</v>
      </c>
      <c r="I298" t="s">
        <v>264</v>
      </c>
      <c r="J298" t="s">
        <v>595</v>
      </c>
      <c r="K298" t="s">
        <v>1774</v>
      </c>
      <c r="L298" t="s">
        <v>1775</v>
      </c>
    </row>
    <row r="299" spans="1:12" x14ac:dyDescent="0.3">
      <c r="A299" t="s">
        <v>1776</v>
      </c>
      <c r="B299" t="s">
        <v>13</v>
      </c>
      <c r="C299" t="s">
        <v>1777</v>
      </c>
      <c r="D299" t="s">
        <v>1467</v>
      </c>
      <c r="E299" t="s">
        <v>1467</v>
      </c>
      <c r="F299" t="s">
        <v>16</v>
      </c>
      <c r="G299" s="2">
        <v>44737</v>
      </c>
      <c r="H299">
        <v>2016</v>
      </c>
      <c r="I299" t="s">
        <v>74</v>
      </c>
      <c r="J299" t="s">
        <v>1679</v>
      </c>
      <c r="K299" t="s">
        <v>1778</v>
      </c>
      <c r="L299" t="s">
        <v>1779</v>
      </c>
    </row>
    <row r="300" spans="1:12" x14ac:dyDescent="0.3">
      <c r="A300" t="s">
        <v>1780</v>
      </c>
      <c r="B300" t="s">
        <v>22</v>
      </c>
      <c r="C300" t="s">
        <v>1781</v>
      </c>
      <c r="D300" t="s">
        <v>1782</v>
      </c>
      <c r="E300" t="s">
        <v>1783</v>
      </c>
      <c r="F300" t="s">
        <v>16</v>
      </c>
      <c r="G300" s="2">
        <v>44738</v>
      </c>
      <c r="H300">
        <v>2020</v>
      </c>
      <c r="I300" t="s">
        <v>74</v>
      </c>
      <c r="J300" t="s">
        <v>34</v>
      </c>
      <c r="K300" t="s">
        <v>1784</v>
      </c>
      <c r="L300" t="s">
        <v>1785</v>
      </c>
    </row>
    <row r="301" spans="1:12" x14ac:dyDescent="0.3">
      <c r="A301" t="s">
        <v>1786</v>
      </c>
      <c r="B301" t="s">
        <v>22</v>
      </c>
      <c r="C301" t="s">
        <v>1787</v>
      </c>
      <c r="D301" t="s">
        <v>2963</v>
      </c>
      <c r="E301" t="s">
        <v>1788</v>
      </c>
      <c r="F301" t="s">
        <v>16</v>
      </c>
      <c r="G301" s="2">
        <v>44739</v>
      </c>
      <c r="H301">
        <v>2020</v>
      </c>
      <c r="I301" t="s">
        <v>26</v>
      </c>
      <c r="J301" t="s">
        <v>194</v>
      </c>
      <c r="K301" t="s">
        <v>1789</v>
      </c>
      <c r="L301" t="s">
        <v>1790</v>
      </c>
    </row>
    <row r="302" spans="1:12" x14ac:dyDescent="0.3">
      <c r="A302" t="s">
        <v>1791</v>
      </c>
      <c r="B302" t="s">
        <v>13</v>
      </c>
      <c r="C302" t="s">
        <v>1792</v>
      </c>
      <c r="D302" t="s">
        <v>1793</v>
      </c>
      <c r="E302" t="s">
        <v>1794</v>
      </c>
      <c r="F302" t="s">
        <v>16</v>
      </c>
      <c r="G302" s="2">
        <v>44740</v>
      </c>
      <c r="H302">
        <v>2020</v>
      </c>
      <c r="I302" t="s">
        <v>74</v>
      </c>
      <c r="J302" t="s">
        <v>544</v>
      </c>
      <c r="K302" t="s">
        <v>1795</v>
      </c>
      <c r="L302" t="s">
        <v>1796</v>
      </c>
    </row>
    <row r="303" spans="1:12" x14ac:dyDescent="0.3">
      <c r="A303" t="s">
        <v>1797</v>
      </c>
      <c r="B303" t="s">
        <v>22</v>
      </c>
      <c r="C303" t="s">
        <v>1798</v>
      </c>
      <c r="D303" t="s">
        <v>2963</v>
      </c>
      <c r="E303" t="s">
        <v>1799</v>
      </c>
      <c r="F303" t="s">
        <v>16</v>
      </c>
      <c r="G303" s="2">
        <v>44741</v>
      </c>
      <c r="H303">
        <v>2020</v>
      </c>
      <c r="I303" t="s">
        <v>26</v>
      </c>
      <c r="J303" t="s">
        <v>34</v>
      </c>
      <c r="K303" t="s">
        <v>1800</v>
      </c>
      <c r="L303" t="s">
        <v>1801</v>
      </c>
    </row>
    <row r="304" spans="1:12" x14ac:dyDescent="0.3">
      <c r="A304" t="s">
        <v>1802</v>
      </c>
      <c r="B304" t="s">
        <v>13</v>
      </c>
      <c r="C304" t="s">
        <v>1803</v>
      </c>
      <c r="D304" t="s">
        <v>1804</v>
      </c>
      <c r="E304" t="s">
        <v>1805</v>
      </c>
      <c r="F304" t="s">
        <v>16</v>
      </c>
      <c r="G304" s="2">
        <v>44742</v>
      </c>
      <c r="H304">
        <v>1982</v>
      </c>
      <c r="I304" t="s">
        <v>74</v>
      </c>
      <c r="J304" t="s">
        <v>1512</v>
      </c>
      <c r="K304" t="s">
        <v>1806</v>
      </c>
      <c r="L304" t="s">
        <v>1807</v>
      </c>
    </row>
    <row r="305" spans="1:12" x14ac:dyDescent="0.3">
      <c r="A305" t="s">
        <v>1809</v>
      </c>
      <c r="B305" t="s">
        <v>22</v>
      </c>
      <c r="C305" t="s">
        <v>1810</v>
      </c>
      <c r="D305" t="s">
        <v>2963</v>
      </c>
      <c r="E305" t="s">
        <v>1811</v>
      </c>
      <c r="F305" t="s">
        <v>16</v>
      </c>
      <c r="G305" s="2">
        <v>44743</v>
      </c>
      <c r="H305">
        <v>2009</v>
      </c>
      <c r="I305" t="s">
        <v>100</v>
      </c>
      <c r="J305" t="s">
        <v>194</v>
      </c>
      <c r="K305" t="s">
        <v>1812</v>
      </c>
      <c r="L305" t="s">
        <v>1813</v>
      </c>
    </row>
    <row r="306" spans="1:12" x14ac:dyDescent="0.3">
      <c r="A306" t="s">
        <v>1814</v>
      </c>
      <c r="B306" t="s">
        <v>22</v>
      </c>
      <c r="C306" t="s">
        <v>1815</v>
      </c>
      <c r="D306" t="s">
        <v>2963</v>
      </c>
      <c r="E306" t="s">
        <v>1816</v>
      </c>
      <c r="F306" t="s">
        <v>16</v>
      </c>
      <c r="G306" s="2">
        <v>44744</v>
      </c>
      <c r="H306">
        <v>2020</v>
      </c>
      <c r="I306" t="s">
        <v>26</v>
      </c>
      <c r="J306" t="s">
        <v>34</v>
      </c>
      <c r="K306" t="s">
        <v>1817</v>
      </c>
      <c r="L306" t="s">
        <v>1818</v>
      </c>
    </row>
    <row r="307" spans="1:12" x14ac:dyDescent="0.3">
      <c r="A307" t="s">
        <v>1820</v>
      </c>
      <c r="B307" t="s">
        <v>13</v>
      </c>
      <c r="C307" t="s">
        <v>1821</v>
      </c>
      <c r="D307" t="s">
        <v>1822</v>
      </c>
      <c r="E307" t="s">
        <v>1823</v>
      </c>
      <c r="F307" t="s">
        <v>16</v>
      </c>
      <c r="G307" s="2">
        <v>44745</v>
      </c>
      <c r="H307">
        <v>2011</v>
      </c>
      <c r="I307" t="s">
        <v>17</v>
      </c>
      <c r="J307" t="s">
        <v>93</v>
      </c>
      <c r="K307" t="s">
        <v>1824</v>
      </c>
      <c r="L307" t="s">
        <v>1825</v>
      </c>
    </row>
    <row r="308" spans="1:12" x14ac:dyDescent="0.3">
      <c r="A308" t="s">
        <v>1826</v>
      </c>
      <c r="B308" t="s">
        <v>22</v>
      </c>
      <c r="C308" t="s">
        <v>1827</v>
      </c>
      <c r="D308" t="s">
        <v>2963</v>
      </c>
      <c r="E308" t="s">
        <v>1828</v>
      </c>
      <c r="F308" t="s">
        <v>16</v>
      </c>
      <c r="G308" s="2">
        <v>44746</v>
      </c>
      <c r="H308">
        <v>2017</v>
      </c>
      <c r="I308" t="s">
        <v>26</v>
      </c>
      <c r="J308" t="s">
        <v>34</v>
      </c>
      <c r="K308" t="s">
        <v>1829</v>
      </c>
      <c r="L308" t="s">
        <v>1830</v>
      </c>
    </row>
    <row r="309" spans="1:12" x14ac:dyDescent="0.3">
      <c r="A309" t="s">
        <v>1831</v>
      </c>
      <c r="B309" t="s">
        <v>22</v>
      </c>
      <c r="C309" t="s">
        <v>1832</v>
      </c>
      <c r="D309" t="s">
        <v>2963</v>
      </c>
      <c r="E309" t="s">
        <v>1833</v>
      </c>
      <c r="F309" t="s">
        <v>16</v>
      </c>
      <c r="G309" s="2">
        <v>44747</v>
      </c>
      <c r="H309">
        <v>2020</v>
      </c>
      <c r="I309" t="s">
        <v>74</v>
      </c>
      <c r="J309" t="s">
        <v>34</v>
      </c>
      <c r="K309" t="s">
        <v>1834</v>
      </c>
      <c r="L309" t="s">
        <v>1835</v>
      </c>
    </row>
    <row r="310" spans="1:12" x14ac:dyDescent="0.3">
      <c r="A310" t="s">
        <v>1836</v>
      </c>
      <c r="B310" t="s">
        <v>22</v>
      </c>
      <c r="C310" t="s">
        <v>1837</v>
      </c>
      <c r="D310" t="s">
        <v>2963</v>
      </c>
      <c r="E310" t="s">
        <v>1838</v>
      </c>
      <c r="F310" t="s">
        <v>16</v>
      </c>
      <c r="G310" s="2">
        <v>44748</v>
      </c>
      <c r="H310">
        <v>2020</v>
      </c>
      <c r="I310" t="s">
        <v>26</v>
      </c>
      <c r="J310" t="s">
        <v>34</v>
      </c>
      <c r="K310" t="s">
        <v>1839</v>
      </c>
      <c r="L310" t="s">
        <v>1840</v>
      </c>
    </row>
    <row r="311" spans="1:12" x14ac:dyDescent="0.3">
      <c r="A311" t="s">
        <v>1841</v>
      </c>
      <c r="B311" t="s">
        <v>13</v>
      </c>
      <c r="C311" t="s">
        <v>1842</v>
      </c>
      <c r="D311" t="s">
        <v>1843</v>
      </c>
      <c r="E311" t="s">
        <v>1844</v>
      </c>
      <c r="F311" t="s">
        <v>16</v>
      </c>
      <c r="G311" s="2">
        <v>44749</v>
      </c>
      <c r="H311">
        <v>2019</v>
      </c>
      <c r="I311" t="s">
        <v>100</v>
      </c>
      <c r="J311" t="s">
        <v>593</v>
      </c>
      <c r="K311" t="s">
        <v>1845</v>
      </c>
      <c r="L311" t="s">
        <v>1846</v>
      </c>
    </row>
    <row r="312" spans="1:12" x14ac:dyDescent="0.3">
      <c r="A312" t="s">
        <v>1847</v>
      </c>
      <c r="B312" t="s">
        <v>22</v>
      </c>
      <c r="C312" t="s">
        <v>1848</v>
      </c>
      <c r="D312" t="s">
        <v>1849</v>
      </c>
      <c r="E312" t="s">
        <v>1850</v>
      </c>
      <c r="F312" t="s">
        <v>16</v>
      </c>
      <c r="G312" s="2">
        <v>44750</v>
      </c>
      <c r="H312">
        <v>2020</v>
      </c>
      <c r="I312" t="s">
        <v>149</v>
      </c>
      <c r="J312" t="s">
        <v>27</v>
      </c>
      <c r="K312" t="s">
        <v>1851</v>
      </c>
      <c r="L312" t="s">
        <v>1852</v>
      </c>
    </row>
    <row r="313" spans="1:12" x14ac:dyDescent="0.3">
      <c r="A313" t="s">
        <v>1853</v>
      </c>
      <c r="B313" t="s">
        <v>22</v>
      </c>
      <c r="C313" t="s">
        <v>1854</v>
      </c>
      <c r="D313" t="s">
        <v>2963</v>
      </c>
      <c r="E313" t="s">
        <v>2963</v>
      </c>
      <c r="F313" t="s">
        <v>16</v>
      </c>
      <c r="G313" s="2">
        <v>44751</v>
      </c>
      <c r="H313">
        <v>2019</v>
      </c>
      <c r="I313" t="s">
        <v>26</v>
      </c>
      <c r="J313" t="s">
        <v>34</v>
      </c>
      <c r="K313" t="s">
        <v>1855</v>
      </c>
      <c r="L313" t="s">
        <v>1856</v>
      </c>
    </row>
    <row r="314" spans="1:12" x14ac:dyDescent="0.3">
      <c r="A314" t="s">
        <v>1857</v>
      </c>
      <c r="B314" t="s">
        <v>13</v>
      </c>
      <c r="C314" t="s">
        <v>1858</v>
      </c>
      <c r="D314" t="s">
        <v>1859</v>
      </c>
      <c r="E314" t="s">
        <v>2963</v>
      </c>
      <c r="F314" t="s">
        <v>16</v>
      </c>
      <c r="G314" s="2">
        <v>44752</v>
      </c>
      <c r="H314">
        <v>2018</v>
      </c>
      <c r="I314" t="s">
        <v>100</v>
      </c>
      <c r="J314" t="s">
        <v>292</v>
      </c>
      <c r="K314" t="s">
        <v>1860</v>
      </c>
      <c r="L314" t="s">
        <v>1861</v>
      </c>
    </row>
    <row r="315" spans="1:12" x14ac:dyDescent="0.3">
      <c r="A315" t="s">
        <v>1862</v>
      </c>
      <c r="B315" t="s">
        <v>22</v>
      </c>
      <c r="C315" t="s">
        <v>1863</v>
      </c>
      <c r="D315" t="s">
        <v>2963</v>
      </c>
      <c r="E315" t="s">
        <v>1864</v>
      </c>
      <c r="F315" t="s">
        <v>16</v>
      </c>
      <c r="G315" s="2">
        <v>44753</v>
      </c>
      <c r="H315">
        <v>2018</v>
      </c>
      <c r="I315" t="s">
        <v>307</v>
      </c>
      <c r="J315" t="s">
        <v>34</v>
      </c>
      <c r="K315" t="s">
        <v>1865</v>
      </c>
      <c r="L315" t="s">
        <v>1866</v>
      </c>
    </row>
    <row r="316" spans="1:12" x14ac:dyDescent="0.3">
      <c r="A316" t="s">
        <v>1867</v>
      </c>
      <c r="B316" t="s">
        <v>13</v>
      </c>
      <c r="C316" t="s">
        <v>1868</v>
      </c>
      <c r="D316" t="s">
        <v>1869</v>
      </c>
      <c r="E316" t="s">
        <v>1870</v>
      </c>
      <c r="F316" t="s">
        <v>16</v>
      </c>
      <c r="G316" s="2">
        <v>44754</v>
      </c>
      <c r="H316">
        <v>2018</v>
      </c>
      <c r="I316" t="s">
        <v>264</v>
      </c>
      <c r="J316" t="s">
        <v>289</v>
      </c>
      <c r="K316" t="s">
        <v>1871</v>
      </c>
      <c r="L316" t="s">
        <v>1872</v>
      </c>
    </row>
    <row r="317" spans="1:12" x14ac:dyDescent="0.3">
      <c r="A317" t="s">
        <v>1873</v>
      </c>
      <c r="B317" t="s">
        <v>22</v>
      </c>
      <c r="C317" t="s">
        <v>1874</v>
      </c>
      <c r="D317" t="s">
        <v>2963</v>
      </c>
      <c r="E317" t="s">
        <v>2963</v>
      </c>
      <c r="F317" t="s">
        <v>16</v>
      </c>
      <c r="G317" s="2">
        <v>44755</v>
      </c>
      <c r="H317">
        <v>2020</v>
      </c>
      <c r="I317" t="s">
        <v>74</v>
      </c>
      <c r="J317" t="s">
        <v>27</v>
      </c>
      <c r="K317" t="s">
        <v>1875</v>
      </c>
      <c r="L317" t="s">
        <v>1876</v>
      </c>
    </row>
    <row r="318" spans="1:12" x14ac:dyDescent="0.3">
      <c r="A318" t="s">
        <v>1878</v>
      </c>
      <c r="B318" t="s">
        <v>22</v>
      </c>
      <c r="C318" t="s">
        <v>1879</v>
      </c>
      <c r="D318" t="s">
        <v>2963</v>
      </c>
      <c r="E318" t="s">
        <v>2963</v>
      </c>
      <c r="F318" t="s">
        <v>16</v>
      </c>
      <c r="G318" s="2">
        <v>44756</v>
      </c>
      <c r="H318">
        <v>2020</v>
      </c>
      <c r="I318" t="s">
        <v>26</v>
      </c>
      <c r="J318" t="s">
        <v>34</v>
      </c>
      <c r="K318" t="s">
        <v>1880</v>
      </c>
      <c r="L318" t="s">
        <v>1881</v>
      </c>
    </row>
    <row r="319" spans="1:12" x14ac:dyDescent="0.3">
      <c r="A319" t="s">
        <v>1882</v>
      </c>
      <c r="B319" t="s">
        <v>22</v>
      </c>
      <c r="C319" t="s">
        <v>1883</v>
      </c>
      <c r="D319" t="s">
        <v>2963</v>
      </c>
      <c r="E319" t="s">
        <v>1884</v>
      </c>
      <c r="F319" t="s">
        <v>16</v>
      </c>
      <c r="G319" s="2">
        <v>44757</v>
      </c>
      <c r="H319">
        <v>2020</v>
      </c>
      <c r="I319" t="s">
        <v>205</v>
      </c>
      <c r="J319" t="s">
        <v>34</v>
      </c>
      <c r="K319" t="s">
        <v>1885</v>
      </c>
      <c r="L319" t="s">
        <v>1886</v>
      </c>
    </row>
    <row r="320" spans="1:12" x14ac:dyDescent="0.3">
      <c r="A320" t="s">
        <v>1887</v>
      </c>
      <c r="B320" t="s">
        <v>22</v>
      </c>
      <c r="C320" t="s">
        <v>1888</v>
      </c>
      <c r="D320" t="s">
        <v>2963</v>
      </c>
      <c r="E320" t="s">
        <v>1889</v>
      </c>
      <c r="F320" t="s">
        <v>16</v>
      </c>
      <c r="G320" s="2">
        <v>44758</v>
      </c>
      <c r="H320">
        <v>2020</v>
      </c>
      <c r="I320" t="s">
        <v>26</v>
      </c>
      <c r="J320" t="s">
        <v>110</v>
      </c>
      <c r="K320" t="s">
        <v>1890</v>
      </c>
      <c r="L320" t="s">
        <v>1891</v>
      </c>
    </row>
    <row r="321" spans="1:12" x14ac:dyDescent="0.3">
      <c r="A321" t="s">
        <v>1893</v>
      </c>
      <c r="B321" t="s">
        <v>13</v>
      </c>
      <c r="C321" t="s">
        <v>1894</v>
      </c>
      <c r="D321" t="s">
        <v>1895</v>
      </c>
      <c r="E321" t="s">
        <v>1896</v>
      </c>
      <c r="F321" t="s">
        <v>16</v>
      </c>
      <c r="G321" s="2">
        <v>44759</v>
      </c>
      <c r="H321">
        <v>2020</v>
      </c>
      <c r="I321" t="s">
        <v>57</v>
      </c>
      <c r="J321" t="s">
        <v>289</v>
      </c>
      <c r="K321" t="s">
        <v>1897</v>
      </c>
      <c r="L321" t="s">
        <v>1898</v>
      </c>
    </row>
    <row r="322" spans="1:12" x14ac:dyDescent="0.3">
      <c r="A322" t="s">
        <v>1899</v>
      </c>
      <c r="B322" t="s">
        <v>13</v>
      </c>
      <c r="C322" t="s">
        <v>1900</v>
      </c>
      <c r="D322" t="s">
        <v>1901</v>
      </c>
      <c r="E322" t="s">
        <v>1902</v>
      </c>
      <c r="F322" t="s">
        <v>16</v>
      </c>
      <c r="G322" s="2">
        <v>44760</v>
      </c>
      <c r="H322">
        <v>2020</v>
      </c>
      <c r="I322" t="s">
        <v>17</v>
      </c>
      <c r="J322" t="s">
        <v>243</v>
      </c>
      <c r="K322" t="s">
        <v>1903</v>
      </c>
      <c r="L322" t="s">
        <v>1904</v>
      </c>
    </row>
    <row r="323" spans="1:12" x14ac:dyDescent="0.3">
      <c r="A323" t="s">
        <v>1905</v>
      </c>
      <c r="B323" t="s">
        <v>22</v>
      </c>
      <c r="C323" t="s">
        <v>1906</v>
      </c>
      <c r="D323" t="s">
        <v>2963</v>
      </c>
      <c r="E323" t="s">
        <v>1907</v>
      </c>
      <c r="F323" t="s">
        <v>16</v>
      </c>
      <c r="G323" s="2">
        <v>44761</v>
      </c>
      <c r="H323">
        <v>2020</v>
      </c>
      <c r="I323" t="s">
        <v>307</v>
      </c>
      <c r="J323" t="s">
        <v>34</v>
      </c>
      <c r="K323" t="s">
        <v>1908</v>
      </c>
      <c r="L323" t="s">
        <v>1909</v>
      </c>
    </row>
    <row r="324" spans="1:12" x14ac:dyDescent="0.3">
      <c r="A324" t="s">
        <v>1910</v>
      </c>
      <c r="B324" t="s">
        <v>22</v>
      </c>
      <c r="C324" t="s">
        <v>1911</v>
      </c>
      <c r="D324" t="s">
        <v>2963</v>
      </c>
      <c r="E324" t="s">
        <v>1912</v>
      </c>
      <c r="F324" t="s">
        <v>16</v>
      </c>
      <c r="G324" s="2">
        <v>44762</v>
      </c>
      <c r="H324">
        <v>2020</v>
      </c>
      <c r="I324" t="s">
        <v>74</v>
      </c>
      <c r="J324" t="s">
        <v>27</v>
      </c>
      <c r="K324" t="s">
        <v>1913</v>
      </c>
      <c r="L324" t="s">
        <v>1914</v>
      </c>
    </row>
    <row r="325" spans="1:12" x14ac:dyDescent="0.3">
      <c r="A325" t="s">
        <v>1915</v>
      </c>
      <c r="B325" t="s">
        <v>13</v>
      </c>
      <c r="C325" t="s">
        <v>1916</v>
      </c>
      <c r="D325" t="s">
        <v>1917</v>
      </c>
      <c r="E325" t="s">
        <v>1918</v>
      </c>
      <c r="F325" t="s">
        <v>16</v>
      </c>
      <c r="G325" s="2">
        <v>44763</v>
      </c>
      <c r="H325">
        <v>2018</v>
      </c>
      <c r="I325" t="s">
        <v>57</v>
      </c>
      <c r="J325" t="s">
        <v>231</v>
      </c>
      <c r="K325" t="s">
        <v>1919</v>
      </c>
      <c r="L325" t="s">
        <v>1920</v>
      </c>
    </row>
    <row r="326" spans="1:12" x14ac:dyDescent="0.3">
      <c r="A326" t="s">
        <v>1921</v>
      </c>
      <c r="B326" t="s">
        <v>13</v>
      </c>
      <c r="C326" t="s">
        <v>1922</v>
      </c>
      <c r="D326" t="s">
        <v>1431</v>
      </c>
      <c r="E326" t="s">
        <v>1923</v>
      </c>
      <c r="F326" t="s">
        <v>16</v>
      </c>
      <c r="G326" s="2">
        <v>44764</v>
      </c>
      <c r="H326">
        <v>2018</v>
      </c>
      <c r="I326" t="s">
        <v>26</v>
      </c>
      <c r="J326" t="s">
        <v>1071</v>
      </c>
      <c r="K326" t="s">
        <v>1924</v>
      </c>
      <c r="L326" t="s">
        <v>1925</v>
      </c>
    </row>
    <row r="327" spans="1:12" x14ac:dyDescent="0.3">
      <c r="A327" t="s">
        <v>1926</v>
      </c>
      <c r="B327" t="s">
        <v>22</v>
      </c>
      <c r="C327" t="s">
        <v>1927</v>
      </c>
      <c r="D327" t="s">
        <v>2963</v>
      </c>
      <c r="E327" t="s">
        <v>1928</v>
      </c>
      <c r="F327" t="s">
        <v>16</v>
      </c>
      <c r="G327" s="2">
        <v>44765</v>
      </c>
      <c r="H327">
        <v>2018</v>
      </c>
      <c r="I327" t="s">
        <v>26</v>
      </c>
      <c r="J327" t="s">
        <v>110</v>
      </c>
      <c r="K327" t="s">
        <v>1929</v>
      </c>
      <c r="L327" t="s">
        <v>1930</v>
      </c>
    </row>
    <row r="328" spans="1:12" x14ac:dyDescent="0.3">
      <c r="A328" t="s">
        <v>1931</v>
      </c>
      <c r="B328" t="s">
        <v>22</v>
      </c>
      <c r="C328" t="s">
        <v>1932</v>
      </c>
      <c r="D328" t="s">
        <v>1933</v>
      </c>
      <c r="E328" t="s">
        <v>1934</v>
      </c>
      <c r="F328" t="s">
        <v>16</v>
      </c>
      <c r="G328" s="2">
        <v>44766</v>
      </c>
      <c r="H328">
        <v>2019</v>
      </c>
      <c r="I328" t="s">
        <v>74</v>
      </c>
      <c r="J328" t="s">
        <v>1935</v>
      </c>
      <c r="K328" t="s">
        <v>1936</v>
      </c>
      <c r="L328" t="s">
        <v>1937</v>
      </c>
    </row>
    <row r="329" spans="1:12" x14ac:dyDescent="0.3">
      <c r="A329" t="s">
        <v>1938</v>
      </c>
      <c r="B329" t="s">
        <v>22</v>
      </c>
      <c r="C329" t="s">
        <v>1939</v>
      </c>
      <c r="D329" t="s">
        <v>2963</v>
      </c>
      <c r="E329" t="s">
        <v>1940</v>
      </c>
      <c r="F329" t="s">
        <v>16</v>
      </c>
      <c r="G329" s="2">
        <v>44767</v>
      </c>
      <c r="H329">
        <v>2016</v>
      </c>
      <c r="I329" t="s">
        <v>26</v>
      </c>
      <c r="J329" t="s">
        <v>34</v>
      </c>
      <c r="K329" t="s">
        <v>1941</v>
      </c>
      <c r="L329" t="s">
        <v>1942</v>
      </c>
    </row>
    <row r="330" spans="1:12" x14ac:dyDescent="0.3">
      <c r="A330" t="s">
        <v>1943</v>
      </c>
      <c r="B330" t="s">
        <v>22</v>
      </c>
      <c r="C330" t="s">
        <v>1944</v>
      </c>
      <c r="D330" t="s">
        <v>2963</v>
      </c>
      <c r="E330" t="s">
        <v>1945</v>
      </c>
      <c r="F330" t="s">
        <v>16</v>
      </c>
      <c r="G330" s="2">
        <v>44768</v>
      </c>
      <c r="H330">
        <v>2020</v>
      </c>
      <c r="I330" t="s">
        <v>26</v>
      </c>
      <c r="J330" t="s">
        <v>34</v>
      </c>
      <c r="K330" t="s">
        <v>1946</v>
      </c>
      <c r="L330" t="s">
        <v>1947</v>
      </c>
    </row>
    <row r="331" spans="1:12" x14ac:dyDescent="0.3">
      <c r="A331" t="s">
        <v>1948</v>
      </c>
      <c r="B331" t="s">
        <v>13</v>
      </c>
      <c r="C331" t="s">
        <v>1949</v>
      </c>
      <c r="D331" t="s">
        <v>1950</v>
      </c>
      <c r="E331" t="s">
        <v>1951</v>
      </c>
      <c r="F331" t="s">
        <v>16</v>
      </c>
      <c r="G331" s="2">
        <v>44769</v>
      </c>
      <c r="H331">
        <v>2020</v>
      </c>
      <c r="I331" t="s">
        <v>264</v>
      </c>
      <c r="J331" t="s">
        <v>360</v>
      </c>
      <c r="K331" t="s">
        <v>1952</v>
      </c>
      <c r="L331" t="s">
        <v>1953</v>
      </c>
    </row>
    <row r="332" spans="1:12" x14ac:dyDescent="0.3">
      <c r="A332" t="s">
        <v>1954</v>
      </c>
      <c r="B332" t="s">
        <v>22</v>
      </c>
      <c r="C332" t="s">
        <v>1955</v>
      </c>
      <c r="D332" t="s">
        <v>2963</v>
      </c>
      <c r="E332" t="s">
        <v>1956</v>
      </c>
      <c r="F332" t="s">
        <v>16</v>
      </c>
      <c r="G332" s="2">
        <v>44770</v>
      </c>
      <c r="H332">
        <v>2009</v>
      </c>
      <c r="I332" t="s">
        <v>74</v>
      </c>
      <c r="J332" t="s">
        <v>34</v>
      </c>
      <c r="K332" t="s">
        <v>1957</v>
      </c>
      <c r="L332" t="s">
        <v>1958</v>
      </c>
    </row>
    <row r="333" spans="1:12" x14ac:dyDescent="0.3">
      <c r="A333" t="s">
        <v>1959</v>
      </c>
      <c r="B333" t="s">
        <v>22</v>
      </c>
      <c r="C333" t="s">
        <v>1960</v>
      </c>
      <c r="D333" t="s">
        <v>2963</v>
      </c>
      <c r="E333" t="s">
        <v>1961</v>
      </c>
      <c r="F333" t="s">
        <v>16</v>
      </c>
      <c r="G333" s="2">
        <v>44771</v>
      </c>
      <c r="H333">
        <v>2007</v>
      </c>
      <c r="I333" t="s">
        <v>205</v>
      </c>
      <c r="J333" t="s">
        <v>194</v>
      </c>
      <c r="K333" t="s">
        <v>1962</v>
      </c>
      <c r="L333" t="s">
        <v>1963</v>
      </c>
    </row>
    <row r="334" spans="1:12" x14ac:dyDescent="0.3">
      <c r="A334" t="s">
        <v>1964</v>
      </c>
      <c r="B334" t="s">
        <v>22</v>
      </c>
      <c r="C334" t="s">
        <v>1965</v>
      </c>
      <c r="D334" t="s">
        <v>2963</v>
      </c>
      <c r="E334" t="s">
        <v>1966</v>
      </c>
      <c r="F334" t="s">
        <v>16</v>
      </c>
      <c r="G334" s="2">
        <v>44772</v>
      </c>
      <c r="H334">
        <v>2014</v>
      </c>
      <c r="I334" t="s">
        <v>26</v>
      </c>
      <c r="J334" t="s">
        <v>34</v>
      </c>
      <c r="K334" t="s">
        <v>1967</v>
      </c>
      <c r="L334" t="s">
        <v>1968</v>
      </c>
    </row>
    <row r="335" spans="1:12" x14ac:dyDescent="0.3">
      <c r="A335" t="s">
        <v>1969</v>
      </c>
      <c r="B335" t="s">
        <v>22</v>
      </c>
      <c r="C335" t="s">
        <v>1970</v>
      </c>
      <c r="D335" t="s">
        <v>2963</v>
      </c>
      <c r="E335" t="s">
        <v>1971</v>
      </c>
      <c r="F335" t="s">
        <v>16</v>
      </c>
      <c r="G335" s="2">
        <v>44773</v>
      </c>
      <c r="H335">
        <v>2019</v>
      </c>
      <c r="I335" t="s">
        <v>26</v>
      </c>
      <c r="J335" t="s">
        <v>34</v>
      </c>
      <c r="K335" t="s">
        <v>1972</v>
      </c>
      <c r="L335" t="s">
        <v>1973</v>
      </c>
    </row>
    <row r="336" spans="1:12" x14ac:dyDescent="0.3">
      <c r="A336" t="s">
        <v>1974</v>
      </c>
      <c r="B336" t="s">
        <v>13</v>
      </c>
      <c r="C336" t="s">
        <v>1975</v>
      </c>
      <c r="D336" t="s">
        <v>1976</v>
      </c>
      <c r="E336" t="s">
        <v>1977</v>
      </c>
      <c r="F336" t="s">
        <v>16</v>
      </c>
      <c r="G336" s="2">
        <v>44774</v>
      </c>
      <c r="H336">
        <v>2010</v>
      </c>
      <c r="I336" t="s">
        <v>100</v>
      </c>
      <c r="J336" t="s">
        <v>600</v>
      </c>
      <c r="K336" t="s">
        <v>1978</v>
      </c>
      <c r="L336" t="s">
        <v>1979</v>
      </c>
    </row>
    <row r="337" spans="1:12" x14ac:dyDescent="0.3">
      <c r="A337" t="s">
        <v>1980</v>
      </c>
      <c r="B337" t="s">
        <v>13</v>
      </c>
      <c r="C337" t="s">
        <v>1981</v>
      </c>
      <c r="D337" t="s">
        <v>1982</v>
      </c>
      <c r="E337" t="s">
        <v>1983</v>
      </c>
      <c r="F337" t="s">
        <v>16</v>
      </c>
      <c r="G337" s="2">
        <v>44775</v>
      </c>
      <c r="H337">
        <v>2016</v>
      </c>
      <c r="I337" t="s">
        <v>74</v>
      </c>
      <c r="J337" t="s">
        <v>18</v>
      </c>
      <c r="K337" t="s">
        <v>1984</v>
      </c>
      <c r="L337" t="s">
        <v>1985</v>
      </c>
    </row>
    <row r="338" spans="1:12" x14ac:dyDescent="0.3">
      <c r="A338" t="s">
        <v>1986</v>
      </c>
      <c r="B338" t="s">
        <v>13</v>
      </c>
      <c r="C338" t="s">
        <v>1987</v>
      </c>
      <c r="D338" t="s">
        <v>1988</v>
      </c>
      <c r="E338" t="s">
        <v>1989</v>
      </c>
      <c r="F338" t="s">
        <v>16</v>
      </c>
      <c r="G338" s="2">
        <v>44776</v>
      </c>
      <c r="H338">
        <v>2019</v>
      </c>
      <c r="I338" t="s">
        <v>74</v>
      </c>
      <c r="J338" t="s">
        <v>128</v>
      </c>
      <c r="K338" t="s">
        <v>1990</v>
      </c>
      <c r="L338" t="s">
        <v>1991</v>
      </c>
    </row>
    <row r="339" spans="1:12" x14ac:dyDescent="0.3">
      <c r="A339" t="s">
        <v>1992</v>
      </c>
      <c r="B339" t="s">
        <v>13</v>
      </c>
      <c r="C339" t="s">
        <v>1993</v>
      </c>
      <c r="D339" t="s">
        <v>1686</v>
      </c>
      <c r="E339" t="s">
        <v>1994</v>
      </c>
      <c r="F339" t="s">
        <v>16</v>
      </c>
      <c r="G339" s="2">
        <v>44777</v>
      </c>
      <c r="H339">
        <v>2020</v>
      </c>
      <c r="I339" t="s">
        <v>57</v>
      </c>
      <c r="J339" t="s">
        <v>18</v>
      </c>
      <c r="K339" t="s">
        <v>1995</v>
      </c>
      <c r="L339" t="s">
        <v>1996</v>
      </c>
    </row>
    <row r="340" spans="1:12" x14ac:dyDescent="0.3">
      <c r="A340" t="s">
        <v>1997</v>
      </c>
      <c r="B340" t="s">
        <v>22</v>
      </c>
      <c r="C340" t="s">
        <v>1998</v>
      </c>
      <c r="D340" t="s">
        <v>2963</v>
      </c>
      <c r="E340" t="s">
        <v>1999</v>
      </c>
      <c r="F340" t="s">
        <v>16</v>
      </c>
      <c r="G340" s="2">
        <v>44778</v>
      </c>
      <c r="H340">
        <v>2014</v>
      </c>
      <c r="I340" t="s">
        <v>100</v>
      </c>
      <c r="J340" t="s">
        <v>34</v>
      </c>
      <c r="K340" t="s">
        <v>2000</v>
      </c>
      <c r="L340" t="s">
        <v>2001</v>
      </c>
    </row>
    <row r="341" spans="1:12" x14ac:dyDescent="0.3">
      <c r="A341" t="s">
        <v>2002</v>
      </c>
      <c r="B341" t="s">
        <v>13</v>
      </c>
      <c r="C341" t="s">
        <v>2003</v>
      </c>
      <c r="D341" t="s">
        <v>2004</v>
      </c>
      <c r="E341" t="s">
        <v>2005</v>
      </c>
      <c r="F341" t="s">
        <v>16</v>
      </c>
      <c r="G341" s="2">
        <v>44779</v>
      </c>
      <c r="H341">
        <v>2020</v>
      </c>
      <c r="I341" t="s">
        <v>17</v>
      </c>
      <c r="J341" t="s">
        <v>219</v>
      </c>
      <c r="K341" t="s">
        <v>2006</v>
      </c>
      <c r="L341" t="s">
        <v>2007</v>
      </c>
    </row>
    <row r="342" spans="1:12" x14ac:dyDescent="0.3">
      <c r="A342" t="s">
        <v>2008</v>
      </c>
      <c r="B342" t="s">
        <v>22</v>
      </c>
      <c r="C342" t="s">
        <v>2009</v>
      </c>
      <c r="D342" t="s">
        <v>2963</v>
      </c>
      <c r="E342" t="s">
        <v>2010</v>
      </c>
      <c r="F342" t="s">
        <v>16</v>
      </c>
      <c r="G342" s="2">
        <v>44780</v>
      </c>
      <c r="H342">
        <v>2020</v>
      </c>
      <c r="I342" t="s">
        <v>26</v>
      </c>
      <c r="J342" t="s">
        <v>110</v>
      </c>
      <c r="K342" t="s">
        <v>2011</v>
      </c>
      <c r="L342" t="s">
        <v>2012</v>
      </c>
    </row>
    <row r="343" spans="1:12" x14ac:dyDescent="0.3">
      <c r="A343" t="s">
        <v>2013</v>
      </c>
      <c r="B343" t="s">
        <v>22</v>
      </c>
      <c r="C343" t="s">
        <v>2014</v>
      </c>
      <c r="D343" t="s">
        <v>2963</v>
      </c>
      <c r="E343" t="s">
        <v>2015</v>
      </c>
      <c r="F343" t="s">
        <v>16</v>
      </c>
      <c r="G343" s="2">
        <v>44781</v>
      </c>
      <c r="H343">
        <v>2020</v>
      </c>
      <c r="I343" t="s">
        <v>100</v>
      </c>
      <c r="J343" t="s">
        <v>34</v>
      </c>
      <c r="K343" t="s">
        <v>2016</v>
      </c>
      <c r="L343" t="s">
        <v>2017</v>
      </c>
    </row>
    <row r="344" spans="1:12" x14ac:dyDescent="0.3">
      <c r="A344" t="s">
        <v>2018</v>
      </c>
      <c r="B344" t="s">
        <v>22</v>
      </c>
      <c r="C344" t="s">
        <v>2019</v>
      </c>
      <c r="D344" t="s">
        <v>2020</v>
      </c>
      <c r="E344" t="s">
        <v>2021</v>
      </c>
      <c r="F344" t="s">
        <v>16</v>
      </c>
      <c r="G344" s="2">
        <v>44782</v>
      </c>
      <c r="H344">
        <v>2020</v>
      </c>
      <c r="I344" t="s">
        <v>26</v>
      </c>
      <c r="J344" t="s">
        <v>27</v>
      </c>
      <c r="K344" t="s">
        <v>2022</v>
      </c>
      <c r="L344" t="s">
        <v>2023</v>
      </c>
    </row>
    <row r="345" spans="1:12" x14ac:dyDescent="0.3">
      <c r="A345" t="s">
        <v>2024</v>
      </c>
      <c r="B345" t="s">
        <v>13</v>
      </c>
      <c r="C345" t="s">
        <v>2025</v>
      </c>
      <c r="D345" t="s">
        <v>2026</v>
      </c>
      <c r="E345" t="s">
        <v>2027</v>
      </c>
      <c r="F345" t="s">
        <v>16</v>
      </c>
      <c r="G345" s="2">
        <v>44783</v>
      </c>
      <c r="H345">
        <v>2015</v>
      </c>
      <c r="I345" t="s">
        <v>57</v>
      </c>
      <c r="J345" t="s">
        <v>436</v>
      </c>
      <c r="K345" t="s">
        <v>2028</v>
      </c>
      <c r="L345" t="s">
        <v>2029</v>
      </c>
    </row>
    <row r="346" spans="1:12" x14ac:dyDescent="0.3">
      <c r="A346" t="s">
        <v>2030</v>
      </c>
      <c r="B346" t="s">
        <v>13</v>
      </c>
      <c r="C346" t="s">
        <v>2031</v>
      </c>
      <c r="D346" t="s">
        <v>2032</v>
      </c>
      <c r="E346" t="s">
        <v>2033</v>
      </c>
      <c r="F346" t="s">
        <v>16</v>
      </c>
      <c r="G346" s="2">
        <v>44784</v>
      </c>
      <c r="H346">
        <v>2019</v>
      </c>
      <c r="I346" t="s">
        <v>26</v>
      </c>
      <c r="J346" t="s">
        <v>257</v>
      </c>
      <c r="K346" t="s">
        <v>2034</v>
      </c>
      <c r="L346" t="s">
        <v>2035</v>
      </c>
    </row>
    <row r="347" spans="1:12" x14ac:dyDescent="0.3">
      <c r="A347" t="s">
        <v>2036</v>
      </c>
      <c r="B347" t="s">
        <v>13</v>
      </c>
      <c r="C347" t="s">
        <v>2037</v>
      </c>
      <c r="D347" t="s">
        <v>2038</v>
      </c>
      <c r="E347" t="s">
        <v>2039</v>
      </c>
      <c r="F347" t="s">
        <v>16</v>
      </c>
      <c r="G347" s="2">
        <v>44785</v>
      </c>
      <c r="H347">
        <v>2010</v>
      </c>
      <c r="I347" t="s">
        <v>57</v>
      </c>
      <c r="J347" t="s">
        <v>82</v>
      </c>
      <c r="K347" t="s">
        <v>2040</v>
      </c>
      <c r="L347" t="s">
        <v>2041</v>
      </c>
    </row>
    <row r="348" spans="1:12" x14ac:dyDescent="0.3">
      <c r="A348" t="s">
        <v>2042</v>
      </c>
      <c r="B348" t="s">
        <v>13</v>
      </c>
      <c r="C348" t="s">
        <v>2043</v>
      </c>
      <c r="D348" t="s">
        <v>2044</v>
      </c>
      <c r="E348" t="s">
        <v>2045</v>
      </c>
      <c r="F348" t="s">
        <v>16</v>
      </c>
      <c r="G348" s="2">
        <v>44786</v>
      </c>
      <c r="H348">
        <v>2019</v>
      </c>
      <c r="I348" t="s">
        <v>26</v>
      </c>
      <c r="J348" t="s">
        <v>18</v>
      </c>
      <c r="K348" t="s">
        <v>2046</v>
      </c>
      <c r="L348" t="s">
        <v>2047</v>
      </c>
    </row>
    <row r="349" spans="1:12" x14ac:dyDescent="0.3">
      <c r="A349" t="s">
        <v>2048</v>
      </c>
      <c r="B349" t="s">
        <v>22</v>
      </c>
      <c r="C349" t="s">
        <v>2049</v>
      </c>
      <c r="D349" t="s">
        <v>2963</v>
      </c>
      <c r="E349" t="s">
        <v>2050</v>
      </c>
      <c r="F349" t="s">
        <v>16</v>
      </c>
      <c r="G349" s="2">
        <v>44787</v>
      </c>
      <c r="H349">
        <v>2019</v>
      </c>
      <c r="I349" t="s">
        <v>74</v>
      </c>
      <c r="J349" t="s">
        <v>27</v>
      </c>
      <c r="K349" t="s">
        <v>2051</v>
      </c>
      <c r="L349" t="s">
        <v>2052</v>
      </c>
    </row>
    <row r="350" spans="1:12" x14ac:dyDescent="0.3">
      <c r="A350" t="s">
        <v>2053</v>
      </c>
      <c r="B350" t="s">
        <v>13</v>
      </c>
      <c r="C350" t="s">
        <v>2054</v>
      </c>
      <c r="D350" t="s">
        <v>2055</v>
      </c>
      <c r="E350" t="s">
        <v>2056</v>
      </c>
      <c r="F350" t="s">
        <v>16</v>
      </c>
      <c r="G350" s="2">
        <v>44788</v>
      </c>
      <c r="H350">
        <v>2019</v>
      </c>
      <c r="I350" t="s">
        <v>100</v>
      </c>
      <c r="J350" t="s">
        <v>58</v>
      </c>
      <c r="K350" t="s">
        <v>2057</v>
      </c>
      <c r="L350" t="s">
        <v>2058</v>
      </c>
    </row>
    <row r="351" spans="1:12" x14ac:dyDescent="0.3">
      <c r="A351" t="s">
        <v>2060</v>
      </c>
      <c r="B351" t="s">
        <v>13</v>
      </c>
      <c r="C351" t="s">
        <v>2061</v>
      </c>
      <c r="D351" t="s">
        <v>2062</v>
      </c>
      <c r="E351" t="s">
        <v>2063</v>
      </c>
      <c r="F351" t="s">
        <v>16</v>
      </c>
      <c r="G351" s="2">
        <v>44789</v>
      </c>
      <c r="H351">
        <v>2010</v>
      </c>
      <c r="I351" t="s">
        <v>264</v>
      </c>
      <c r="J351" t="s">
        <v>595</v>
      </c>
      <c r="K351" t="s">
        <v>2064</v>
      </c>
      <c r="L351" t="s">
        <v>2065</v>
      </c>
    </row>
    <row r="352" spans="1:12" x14ac:dyDescent="0.3">
      <c r="A352" t="s">
        <v>2066</v>
      </c>
      <c r="B352" t="s">
        <v>22</v>
      </c>
      <c r="C352" t="s">
        <v>2067</v>
      </c>
      <c r="D352" t="s">
        <v>2963</v>
      </c>
      <c r="E352" t="s">
        <v>2068</v>
      </c>
      <c r="F352" t="s">
        <v>16</v>
      </c>
      <c r="G352" s="2">
        <v>44790</v>
      </c>
      <c r="H352">
        <v>2019</v>
      </c>
      <c r="I352" t="s">
        <v>307</v>
      </c>
      <c r="J352" t="s">
        <v>34</v>
      </c>
      <c r="K352" t="s">
        <v>2069</v>
      </c>
      <c r="L352" t="s">
        <v>2070</v>
      </c>
    </row>
    <row r="353" spans="1:12" x14ac:dyDescent="0.3">
      <c r="A353" t="s">
        <v>2071</v>
      </c>
      <c r="B353" t="s">
        <v>13</v>
      </c>
      <c r="C353" t="s">
        <v>2072</v>
      </c>
      <c r="D353" t="s">
        <v>2073</v>
      </c>
      <c r="E353" t="s">
        <v>2074</v>
      </c>
      <c r="F353" t="s">
        <v>16</v>
      </c>
      <c r="G353" s="2">
        <v>44791</v>
      </c>
      <c r="H353">
        <v>2019</v>
      </c>
      <c r="I353" t="s">
        <v>57</v>
      </c>
      <c r="J353" t="s">
        <v>293</v>
      </c>
      <c r="K353" t="s">
        <v>2075</v>
      </c>
      <c r="L353" t="s">
        <v>2076</v>
      </c>
    </row>
    <row r="354" spans="1:12" x14ac:dyDescent="0.3">
      <c r="A354" t="s">
        <v>2077</v>
      </c>
      <c r="B354" t="s">
        <v>13</v>
      </c>
      <c r="C354">
        <v>3022</v>
      </c>
      <c r="D354" t="s">
        <v>2078</v>
      </c>
      <c r="E354" t="s">
        <v>2079</v>
      </c>
      <c r="F354" t="s">
        <v>16</v>
      </c>
      <c r="G354" s="2">
        <v>44792</v>
      </c>
      <c r="H354">
        <v>2019</v>
      </c>
      <c r="I354" t="s">
        <v>264</v>
      </c>
      <c r="J354" t="s">
        <v>58</v>
      </c>
      <c r="K354" t="s">
        <v>2080</v>
      </c>
      <c r="L354" t="s">
        <v>2081</v>
      </c>
    </row>
    <row r="355" spans="1:12" x14ac:dyDescent="0.3">
      <c r="A355" t="s">
        <v>2082</v>
      </c>
      <c r="B355" t="s">
        <v>13</v>
      </c>
      <c r="C355" t="s">
        <v>2083</v>
      </c>
      <c r="D355" t="s">
        <v>2084</v>
      </c>
      <c r="E355" t="s">
        <v>2085</v>
      </c>
      <c r="F355" t="s">
        <v>16</v>
      </c>
      <c r="G355" s="2">
        <v>44793</v>
      </c>
      <c r="H355">
        <v>2017</v>
      </c>
      <c r="I355" t="s">
        <v>57</v>
      </c>
      <c r="J355" t="s">
        <v>314</v>
      </c>
      <c r="K355" t="s">
        <v>2086</v>
      </c>
      <c r="L355" t="s">
        <v>2087</v>
      </c>
    </row>
    <row r="356" spans="1:12" x14ac:dyDescent="0.3">
      <c r="A356" t="s">
        <v>2088</v>
      </c>
      <c r="B356" t="s">
        <v>22</v>
      </c>
      <c r="C356" t="s">
        <v>2089</v>
      </c>
      <c r="D356" t="s">
        <v>2963</v>
      </c>
      <c r="E356" t="s">
        <v>2090</v>
      </c>
      <c r="F356" t="s">
        <v>16</v>
      </c>
      <c r="G356" s="2">
        <v>44794</v>
      </c>
      <c r="H356">
        <v>2020</v>
      </c>
      <c r="I356" t="s">
        <v>26</v>
      </c>
      <c r="J356" t="s">
        <v>34</v>
      </c>
      <c r="K356" t="s">
        <v>2091</v>
      </c>
      <c r="L356" t="s">
        <v>2092</v>
      </c>
    </row>
    <row r="357" spans="1:12" x14ac:dyDescent="0.3">
      <c r="A357" t="s">
        <v>2093</v>
      </c>
      <c r="B357" t="s">
        <v>22</v>
      </c>
      <c r="C357" t="s">
        <v>2094</v>
      </c>
      <c r="D357" t="s">
        <v>2095</v>
      </c>
      <c r="E357" t="s">
        <v>2096</v>
      </c>
      <c r="F357" t="s">
        <v>16</v>
      </c>
      <c r="G357" s="2">
        <v>44795</v>
      </c>
      <c r="H357">
        <v>2019</v>
      </c>
      <c r="I357" t="s">
        <v>74</v>
      </c>
      <c r="J357" t="s">
        <v>1040</v>
      </c>
      <c r="K357" t="s">
        <v>2097</v>
      </c>
      <c r="L357" t="s">
        <v>2098</v>
      </c>
    </row>
    <row r="358" spans="1:12" x14ac:dyDescent="0.3">
      <c r="A358" t="s">
        <v>2099</v>
      </c>
      <c r="B358" t="s">
        <v>13</v>
      </c>
      <c r="C358" t="s">
        <v>2100</v>
      </c>
      <c r="D358" t="s">
        <v>2101</v>
      </c>
      <c r="E358" t="s">
        <v>2102</v>
      </c>
      <c r="F358" t="s">
        <v>16</v>
      </c>
      <c r="G358" s="2">
        <v>44796</v>
      </c>
      <c r="H358">
        <v>2019</v>
      </c>
      <c r="I358" t="s">
        <v>57</v>
      </c>
      <c r="J358" t="s">
        <v>184</v>
      </c>
      <c r="K358" t="s">
        <v>2103</v>
      </c>
      <c r="L358" t="s">
        <v>2104</v>
      </c>
    </row>
    <row r="359" spans="1:12" x14ac:dyDescent="0.3">
      <c r="A359" t="s">
        <v>2105</v>
      </c>
      <c r="B359" t="s">
        <v>22</v>
      </c>
      <c r="C359" t="s">
        <v>2106</v>
      </c>
      <c r="D359" t="s">
        <v>2107</v>
      </c>
      <c r="E359" t="s">
        <v>2108</v>
      </c>
      <c r="F359" t="s">
        <v>16</v>
      </c>
      <c r="G359" s="2">
        <v>44797</v>
      </c>
      <c r="H359">
        <v>2019</v>
      </c>
      <c r="I359" t="s">
        <v>205</v>
      </c>
      <c r="J359" t="s">
        <v>139</v>
      </c>
      <c r="K359" t="s">
        <v>2109</v>
      </c>
      <c r="L359" t="s">
        <v>2110</v>
      </c>
    </row>
    <row r="360" spans="1:12" x14ac:dyDescent="0.3">
      <c r="A360" t="s">
        <v>2111</v>
      </c>
      <c r="B360" t="s">
        <v>13</v>
      </c>
      <c r="C360" t="s">
        <v>2112</v>
      </c>
      <c r="D360" t="s">
        <v>2113</v>
      </c>
      <c r="E360" t="s">
        <v>2114</v>
      </c>
      <c r="F360" t="s">
        <v>16</v>
      </c>
      <c r="G360" s="2">
        <v>44798</v>
      </c>
      <c r="H360">
        <v>2019</v>
      </c>
      <c r="I360" t="s">
        <v>26</v>
      </c>
      <c r="J360" t="s">
        <v>174</v>
      </c>
      <c r="K360" t="s">
        <v>2115</v>
      </c>
      <c r="L360" t="s">
        <v>2116</v>
      </c>
    </row>
    <row r="361" spans="1:12" x14ac:dyDescent="0.3">
      <c r="A361" t="s">
        <v>2118</v>
      </c>
      <c r="B361" t="s">
        <v>22</v>
      </c>
      <c r="C361" t="s">
        <v>2119</v>
      </c>
      <c r="D361" t="s">
        <v>2963</v>
      </c>
      <c r="E361" t="s">
        <v>2120</v>
      </c>
      <c r="F361" t="s">
        <v>16</v>
      </c>
      <c r="G361" s="2">
        <v>44799</v>
      </c>
      <c r="H361">
        <v>2020</v>
      </c>
      <c r="I361" t="s">
        <v>26</v>
      </c>
      <c r="J361" t="s">
        <v>34</v>
      </c>
      <c r="K361" t="s">
        <v>2121</v>
      </c>
      <c r="L361" t="s">
        <v>2122</v>
      </c>
    </row>
    <row r="362" spans="1:12" x14ac:dyDescent="0.3">
      <c r="A362" t="s">
        <v>2123</v>
      </c>
      <c r="B362" t="s">
        <v>22</v>
      </c>
      <c r="C362" t="s">
        <v>2124</v>
      </c>
      <c r="D362" t="s">
        <v>2963</v>
      </c>
      <c r="E362" t="s">
        <v>2963</v>
      </c>
      <c r="F362" t="s">
        <v>16</v>
      </c>
      <c r="G362" s="2">
        <v>44800</v>
      </c>
      <c r="H362">
        <v>2020</v>
      </c>
      <c r="I362" t="s">
        <v>26</v>
      </c>
      <c r="J362" t="s">
        <v>34</v>
      </c>
      <c r="K362" t="s">
        <v>2125</v>
      </c>
      <c r="L362" t="s">
        <v>2126</v>
      </c>
    </row>
    <row r="363" spans="1:12" x14ac:dyDescent="0.3">
      <c r="A363" t="s">
        <v>2127</v>
      </c>
      <c r="B363" t="s">
        <v>22</v>
      </c>
      <c r="C363" t="s">
        <v>2128</v>
      </c>
      <c r="D363" t="s">
        <v>2963</v>
      </c>
      <c r="E363" t="s">
        <v>2963</v>
      </c>
      <c r="F363" t="s">
        <v>16</v>
      </c>
      <c r="G363" s="2">
        <v>44801</v>
      </c>
      <c r="H363">
        <v>2018</v>
      </c>
      <c r="I363" t="s">
        <v>74</v>
      </c>
      <c r="J363" t="s">
        <v>34</v>
      </c>
      <c r="K363" t="s">
        <v>2129</v>
      </c>
      <c r="L363" t="s">
        <v>2130</v>
      </c>
    </row>
    <row r="364" spans="1:12" x14ac:dyDescent="0.3">
      <c r="A364" t="s">
        <v>2131</v>
      </c>
      <c r="B364" t="s">
        <v>22</v>
      </c>
      <c r="C364" t="s">
        <v>2132</v>
      </c>
      <c r="D364" t="s">
        <v>2963</v>
      </c>
      <c r="E364" t="s">
        <v>2133</v>
      </c>
      <c r="F364" t="s">
        <v>16</v>
      </c>
      <c r="G364" s="2">
        <v>44802</v>
      </c>
      <c r="H364">
        <v>2018</v>
      </c>
      <c r="I364" t="s">
        <v>100</v>
      </c>
      <c r="J364" t="s">
        <v>34</v>
      </c>
      <c r="K364" t="s">
        <v>2134</v>
      </c>
      <c r="L364" t="s">
        <v>2135</v>
      </c>
    </row>
    <row r="365" spans="1:12" x14ac:dyDescent="0.3">
      <c r="A365" t="s">
        <v>2136</v>
      </c>
      <c r="B365" t="s">
        <v>22</v>
      </c>
      <c r="C365" t="s">
        <v>2137</v>
      </c>
      <c r="D365" t="s">
        <v>2138</v>
      </c>
      <c r="E365" t="s">
        <v>2139</v>
      </c>
      <c r="F365" t="s">
        <v>16</v>
      </c>
      <c r="G365" s="2">
        <v>44803</v>
      </c>
      <c r="H365">
        <v>2019</v>
      </c>
      <c r="I365" t="s">
        <v>26</v>
      </c>
      <c r="J365" t="s">
        <v>27</v>
      </c>
      <c r="K365" t="s">
        <v>2140</v>
      </c>
      <c r="L365" t="s">
        <v>2141</v>
      </c>
    </row>
    <row r="366" spans="1:12" x14ac:dyDescent="0.3">
      <c r="A366" t="s">
        <v>2142</v>
      </c>
      <c r="B366" t="s">
        <v>13</v>
      </c>
      <c r="C366" t="s">
        <v>2143</v>
      </c>
      <c r="D366" t="s">
        <v>2144</v>
      </c>
      <c r="E366" t="s">
        <v>2145</v>
      </c>
      <c r="F366" t="s">
        <v>16</v>
      </c>
      <c r="G366" s="2">
        <v>44804</v>
      </c>
      <c r="H366">
        <v>2017</v>
      </c>
      <c r="I366" t="s">
        <v>100</v>
      </c>
      <c r="J366" t="s">
        <v>58</v>
      </c>
      <c r="K366" t="s">
        <v>2146</v>
      </c>
      <c r="L366" t="s">
        <v>2147</v>
      </c>
    </row>
    <row r="367" spans="1:12" x14ac:dyDescent="0.3">
      <c r="A367" t="s">
        <v>2148</v>
      </c>
      <c r="B367" t="s">
        <v>13</v>
      </c>
      <c r="C367" t="s">
        <v>2149</v>
      </c>
      <c r="D367" t="s">
        <v>1328</v>
      </c>
      <c r="E367" t="s">
        <v>2150</v>
      </c>
      <c r="F367" t="s">
        <v>16</v>
      </c>
      <c r="G367" s="2">
        <v>44805</v>
      </c>
      <c r="H367">
        <v>2019</v>
      </c>
      <c r="I367" t="s">
        <v>17</v>
      </c>
      <c r="J367" t="s">
        <v>304</v>
      </c>
      <c r="K367" t="s">
        <v>2151</v>
      </c>
      <c r="L367" t="s">
        <v>2152</v>
      </c>
    </row>
    <row r="368" spans="1:12" x14ac:dyDescent="0.3">
      <c r="A368" t="s">
        <v>2154</v>
      </c>
      <c r="B368" t="s">
        <v>22</v>
      </c>
      <c r="C368" t="s">
        <v>2155</v>
      </c>
      <c r="D368" t="s">
        <v>2963</v>
      </c>
      <c r="E368" t="s">
        <v>2156</v>
      </c>
      <c r="F368" t="s">
        <v>16</v>
      </c>
      <c r="G368" s="2">
        <v>44806</v>
      </c>
      <c r="H368">
        <v>2019</v>
      </c>
      <c r="I368" t="s">
        <v>74</v>
      </c>
      <c r="J368" t="s">
        <v>34</v>
      </c>
      <c r="K368" t="s">
        <v>2157</v>
      </c>
      <c r="L368" t="s">
        <v>2158</v>
      </c>
    </row>
    <row r="369" spans="1:12" x14ac:dyDescent="0.3">
      <c r="A369" t="s">
        <v>2159</v>
      </c>
      <c r="B369" t="s">
        <v>22</v>
      </c>
      <c r="C369" t="s">
        <v>2160</v>
      </c>
      <c r="D369" t="s">
        <v>2963</v>
      </c>
      <c r="E369" t="s">
        <v>2161</v>
      </c>
      <c r="F369" t="s">
        <v>16</v>
      </c>
      <c r="G369" s="2">
        <v>44807</v>
      </c>
      <c r="H369">
        <v>2003</v>
      </c>
      <c r="I369" t="s">
        <v>74</v>
      </c>
      <c r="J369" t="s">
        <v>34</v>
      </c>
      <c r="K369" t="s">
        <v>2162</v>
      </c>
      <c r="L369" t="s">
        <v>2163</v>
      </c>
    </row>
    <row r="370" spans="1:12" x14ac:dyDescent="0.3">
      <c r="A370" t="s">
        <v>2164</v>
      </c>
      <c r="B370" t="s">
        <v>13</v>
      </c>
      <c r="C370" t="s">
        <v>2165</v>
      </c>
      <c r="D370" t="s">
        <v>2166</v>
      </c>
      <c r="E370" t="s">
        <v>2167</v>
      </c>
      <c r="F370" t="s">
        <v>16</v>
      </c>
      <c r="G370" s="2">
        <v>44808</v>
      </c>
      <c r="H370">
        <v>2011</v>
      </c>
      <c r="I370" t="s">
        <v>100</v>
      </c>
      <c r="J370" t="s">
        <v>212</v>
      </c>
      <c r="K370" t="s">
        <v>2168</v>
      </c>
      <c r="L370" t="s">
        <v>2169</v>
      </c>
    </row>
    <row r="371" spans="1:12" x14ac:dyDescent="0.3">
      <c r="A371" t="s">
        <v>2170</v>
      </c>
      <c r="B371" t="s">
        <v>13</v>
      </c>
      <c r="C371" t="s">
        <v>2171</v>
      </c>
      <c r="D371" t="s">
        <v>2172</v>
      </c>
      <c r="E371" t="s">
        <v>2173</v>
      </c>
      <c r="F371" t="s">
        <v>16</v>
      </c>
      <c r="G371" s="2">
        <v>44809</v>
      </c>
      <c r="H371">
        <v>2013</v>
      </c>
      <c r="I371" t="s">
        <v>74</v>
      </c>
      <c r="J371" t="s">
        <v>1008</v>
      </c>
      <c r="K371" t="s">
        <v>2174</v>
      </c>
      <c r="L371" t="s">
        <v>2175</v>
      </c>
    </row>
    <row r="372" spans="1:12" x14ac:dyDescent="0.3">
      <c r="A372" t="s">
        <v>2176</v>
      </c>
      <c r="B372" t="s">
        <v>22</v>
      </c>
      <c r="C372" t="s">
        <v>2177</v>
      </c>
      <c r="D372" t="s">
        <v>2963</v>
      </c>
      <c r="E372" t="s">
        <v>2178</v>
      </c>
      <c r="F372" t="s">
        <v>16</v>
      </c>
      <c r="G372" s="2">
        <v>44810</v>
      </c>
      <c r="H372">
        <v>2019</v>
      </c>
      <c r="I372" t="s">
        <v>74</v>
      </c>
      <c r="J372" t="s">
        <v>34</v>
      </c>
      <c r="K372" t="s">
        <v>2179</v>
      </c>
      <c r="L372" t="s">
        <v>2180</v>
      </c>
    </row>
    <row r="373" spans="1:12" x14ac:dyDescent="0.3">
      <c r="A373" t="s">
        <v>2182</v>
      </c>
      <c r="B373" t="s">
        <v>22</v>
      </c>
      <c r="C373" t="s">
        <v>2183</v>
      </c>
      <c r="D373" t="s">
        <v>2963</v>
      </c>
      <c r="E373" t="s">
        <v>2184</v>
      </c>
      <c r="F373" t="s">
        <v>16</v>
      </c>
      <c r="G373" s="2">
        <v>44811</v>
      </c>
      <c r="H373">
        <v>2018</v>
      </c>
      <c r="I373" t="s">
        <v>26</v>
      </c>
      <c r="J373" t="s">
        <v>34</v>
      </c>
      <c r="K373" t="s">
        <v>2185</v>
      </c>
      <c r="L373" t="s">
        <v>2186</v>
      </c>
    </row>
    <row r="374" spans="1:12" x14ac:dyDescent="0.3">
      <c r="A374" t="s">
        <v>2187</v>
      </c>
      <c r="B374" t="s">
        <v>13</v>
      </c>
      <c r="C374" t="s">
        <v>2188</v>
      </c>
      <c r="D374" t="s">
        <v>2189</v>
      </c>
      <c r="E374" t="s">
        <v>2190</v>
      </c>
      <c r="F374" t="s">
        <v>16</v>
      </c>
      <c r="G374" s="2">
        <v>44812</v>
      </c>
      <c r="H374">
        <v>2019</v>
      </c>
      <c r="I374" t="s">
        <v>26</v>
      </c>
      <c r="J374" t="s">
        <v>559</v>
      </c>
      <c r="K374" t="s">
        <v>2191</v>
      </c>
      <c r="L374" t="s">
        <v>2192</v>
      </c>
    </row>
    <row r="375" spans="1:12" x14ac:dyDescent="0.3">
      <c r="A375" t="s">
        <v>2193</v>
      </c>
      <c r="B375" t="s">
        <v>22</v>
      </c>
      <c r="C375" t="s">
        <v>2194</v>
      </c>
      <c r="D375" t="s">
        <v>2963</v>
      </c>
      <c r="E375" t="s">
        <v>2195</v>
      </c>
      <c r="F375" t="s">
        <v>16</v>
      </c>
      <c r="G375" s="2">
        <v>44813</v>
      </c>
      <c r="H375">
        <v>2019</v>
      </c>
      <c r="I375" t="s">
        <v>26</v>
      </c>
      <c r="J375" t="s">
        <v>34</v>
      </c>
      <c r="K375" t="s">
        <v>2196</v>
      </c>
      <c r="L375" t="s">
        <v>2197</v>
      </c>
    </row>
    <row r="376" spans="1:12" x14ac:dyDescent="0.3">
      <c r="A376" t="s">
        <v>2198</v>
      </c>
      <c r="B376" t="s">
        <v>13</v>
      </c>
      <c r="C376" t="s">
        <v>2199</v>
      </c>
      <c r="D376" t="s">
        <v>2200</v>
      </c>
      <c r="E376" t="s">
        <v>2201</v>
      </c>
      <c r="F376" t="s">
        <v>16</v>
      </c>
      <c r="G376" s="2">
        <v>44814</v>
      </c>
      <c r="H376">
        <v>2019</v>
      </c>
      <c r="I376" t="s">
        <v>26</v>
      </c>
      <c r="J376" t="s">
        <v>116</v>
      </c>
      <c r="K376" t="s">
        <v>2202</v>
      </c>
      <c r="L376" t="s">
        <v>2203</v>
      </c>
    </row>
    <row r="377" spans="1:12" x14ac:dyDescent="0.3">
      <c r="A377" t="s">
        <v>2204</v>
      </c>
      <c r="B377" t="s">
        <v>22</v>
      </c>
      <c r="C377" t="s">
        <v>2205</v>
      </c>
      <c r="D377" t="s">
        <v>2963</v>
      </c>
      <c r="E377" t="s">
        <v>2206</v>
      </c>
      <c r="F377" t="s">
        <v>16</v>
      </c>
      <c r="G377" s="2">
        <v>44815</v>
      </c>
      <c r="H377">
        <v>2019</v>
      </c>
      <c r="I377" t="s">
        <v>205</v>
      </c>
      <c r="J377" t="s">
        <v>34</v>
      </c>
      <c r="K377" t="s">
        <v>2207</v>
      </c>
      <c r="L377" t="s">
        <v>2208</v>
      </c>
    </row>
    <row r="378" spans="1:12" x14ac:dyDescent="0.3">
      <c r="A378" t="s">
        <v>2209</v>
      </c>
      <c r="B378" t="s">
        <v>22</v>
      </c>
      <c r="C378" t="s">
        <v>2210</v>
      </c>
      <c r="D378" t="s">
        <v>2963</v>
      </c>
      <c r="E378" t="s">
        <v>2211</v>
      </c>
      <c r="F378" t="s">
        <v>16</v>
      </c>
      <c r="G378" s="2">
        <v>44816</v>
      </c>
      <c r="H378">
        <v>2019</v>
      </c>
      <c r="I378" t="s">
        <v>100</v>
      </c>
      <c r="J378" t="s">
        <v>27</v>
      </c>
      <c r="K378" t="s">
        <v>2212</v>
      </c>
      <c r="L378" t="s">
        <v>2213</v>
      </c>
    </row>
    <row r="379" spans="1:12" x14ac:dyDescent="0.3">
      <c r="A379" t="s">
        <v>2214</v>
      </c>
      <c r="B379" t="s">
        <v>22</v>
      </c>
      <c r="C379" t="s">
        <v>2215</v>
      </c>
      <c r="D379" t="s">
        <v>2963</v>
      </c>
      <c r="E379" t="s">
        <v>2216</v>
      </c>
      <c r="F379" t="s">
        <v>16</v>
      </c>
      <c r="G379" s="2">
        <v>44817</v>
      </c>
      <c r="H379">
        <v>2019</v>
      </c>
      <c r="I379" t="s">
        <v>100</v>
      </c>
      <c r="J379" t="s">
        <v>34</v>
      </c>
      <c r="K379" t="s">
        <v>2217</v>
      </c>
      <c r="L379" t="s">
        <v>2218</v>
      </c>
    </row>
    <row r="380" spans="1:12" x14ac:dyDescent="0.3">
      <c r="A380" t="s">
        <v>2219</v>
      </c>
      <c r="B380" t="s">
        <v>22</v>
      </c>
      <c r="C380" t="s">
        <v>2220</v>
      </c>
      <c r="D380" t="s">
        <v>2963</v>
      </c>
      <c r="E380" t="s">
        <v>2221</v>
      </c>
      <c r="F380" t="s">
        <v>16</v>
      </c>
      <c r="G380" s="2">
        <v>44818</v>
      </c>
      <c r="H380">
        <v>2019</v>
      </c>
      <c r="I380" t="s">
        <v>26</v>
      </c>
      <c r="J380" t="s">
        <v>34</v>
      </c>
      <c r="K380" t="s">
        <v>2222</v>
      </c>
      <c r="L380" t="s">
        <v>2223</v>
      </c>
    </row>
    <row r="381" spans="1:12" x14ac:dyDescent="0.3">
      <c r="A381" t="s">
        <v>2224</v>
      </c>
      <c r="B381" t="s">
        <v>13</v>
      </c>
      <c r="C381" t="s">
        <v>2225</v>
      </c>
      <c r="D381" t="s">
        <v>2226</v>
      </c>
      <c r="E381" t="s">
        <v>2227</v>
      </c>
      <c r="F381" t="s">
        <v>16</v>
      </c>
      <c r="G381" s="2">
        <v>44819</v>
      </c>
      <c r="H381">
        <v>2019</v>
      </c>
      <c r="I381" t="s">
        <v>26</v>
      </c>
      <c r="J381" t="s">
        <v>250</v>
      </c>
      <c r="K381" t="s">
        <v>2228</v>
      </c>
      <c r="L381" t="s">
        <v>2229</v>
      </c>
    </row>
    <row r="382" spans="1:12" x14ac:dyDescent="0.3">
      <c r="A382" t="s">
        <v>2230</v>
      </c>
      <c r="B382" t="s">
        <v>22</v>
      </c>
      <c r="C382" t="s">
        <v>2231</v>
      </c>
      <c r="D382" t="s">
        <v>2963</v>
      </c>
      <c r="E382" t="s">
        <v>2232</v>
      </c>
      <c r="F382" t="s">
        <v>16</v>
      </c>
      <c r="G382" s="2">
        <v>44820</v>
      </c>
      <c r="H382">
        <v>2019</v>
      </c>
      <c r="I382" t="s">
        <v>26</v>
      </c>
      <c r="J382" t="s">
        <v>139</v>
      </c>
      <c r="K382" t="s">
        <v>2233</v>
      </c>
      <c r="L382" t="s">
        <v>2234</v>
      </c>
    </row>
    <row r="383" spans="1:12" x14ac:dyDescent="0.3">
      <c r="A383" t="s">
        <v>2235</v>
      </c>
      <c r="B383" t="s">
        <v>13</v>
      </c>
      <c r="C383" t="s">
        <v>2236</v>
      </c>
      <c r="D383" t="s">
        <v>2237</v>
      </c>
      <c r="E383" t="s">
        <v>2238</v>
      </c>
      <c r="F383" t="s">
        <v>16</v>
      </c>
      <c r="G383" s="2">
        <v>44821</v>
      </c>
      <c r="H383">
        <v>2019</v>
      </c>
      <c r="I383" t="s">
        <v>205</v>
      </c>
      <c r="J383" t="s">
        <v>1008</v>
      </c>
      <c r="K383" t="s">
        <v>2239</v>
      </c>
      <c r="L383" t="s">
        <v>2240</v>
      </c>
    </row>
    <row r="384" spans="1:12" x14ac:dyDescent="0.3">
      <c r="A384" t="s">
        <v>2242</v>
      </c>
      <c r="B384" t="s">
        <v>22</v>
      </c>
      <c r="C384" t="s">
        <v>2243</v>
      </c>
      <c r="D384" t="s">
        <v>2963</v>
      </c>
      <c r="E384" t="s">
        <v>2244</v>
      </c>
      <c r="F384" t="s">
        <v>16</v>
      </c>
      <c r="G384" s="2">
        <v>44822</v>
      </c>
      <c r="H384">
        <v>2019</v>
      </c>
      <c r="I384" t="s">
        <v>74</v>
      </c>
      <c r="J384" t="s">
        <v>34</v>
      </c>
      <c r="K384" t="s">
        <v>2245</v>
      </c>
      <c r="L384" t="s">
        <v>2246</v>
      </c>
    </row>
    <row r="385" spans="1:12" x14ac:dyDescent="0.3">
      <c r="A385" t="s">
        <v>2247</v>
      </c>
      <c r="B385" t="s">
        <v>22</v>
      </c>
      <c r="C385" t="s">
        <v>2248</v>
      </c>
      <c r="D385" t="s">
        <v>2963</v>
      </c>
      <c r="E385" t="s">
        <v>2249</v>
      </c>
      <c r="F385" t="s">
        <v>16</v>
      </c>
      <c r="G385" s="2">
        <v>44823</v>
      </c>
      <c r="H385">
        <v>2019</v>
      </c>
      <c r="I385" t="s">
        <v>26</v>
      </c>
      <c r="J385" t="s">
        <v>34</v>
      </c>
      <c r="K385" t="s">
        <v>2250</v>
      </c>
      <c r="L385" t="s">
        <v>2251</v>
      </c>
    </row>
    <row r="386" spans="1:12" x14ac:dyDescent="0.3">
      <c r="A386" t="s">
        <v>2252</v>
      </c>
      <c r="B386" t="s">
        <v>13</v>
      </c>
      <c r="C386" t="s">
        <v>2253</v>
      </c>
      <c r="D386" t="s">
        <v>2254</v>
      </c>
      <c r="E386" t="s">
        <v>2255</v>
      </c>
      <c r="F386" t="s">
        <v>16</v>
      </c>
      <c r="G386" s="2">
        <v>44824</v>
      </c>
      <c r="H386">
        <v>2019</v>
      </c>
      <c r="I386" t="s">
        <v>26</v>
      </c>
      <c r="J386" t="s">
        <v>272</v>
      </c>
      <c r="K386" t="s">
        <v>2256</v>
      </c>
      <c r="L386" t="s">
        <v>2257</v>
      </c>
    </row>
    <row r="387" spans="1:12" x14ac:dyDescent="0.3">
      <c r="A387" t="s">
        <v>2258</v>
      </c>
      <c r="B387" t="s">
        <v>22</v>
      </c>
      <c r="C387" t="s">
        <v>2259</v>
      </c>
      <c r="D387" t="s">
        <v>2963</v>
      </c>
      <c r="E387" t="s">
        <v>2963</v>
      </c>
      <c r="F387" t="s">
        <v>16</v>
      </c>
      <c r="G387" s="2">
        <v>44825</v>
      </c>
      <c r="H387">
        <v>2019</v>
      </c>
      <c r="I387" t="s">
        <v>26</v>
      </c>
      <c r="J387" t="s">
        <v>34</v>
      </c>
      <c r="K387" t="s">
        <v>2260</v>
      </c>
      <c r="L387" t="s">
        <v>2261</v>
      </c>
    </row>
    <row r="388" spans="1:12" x14ac:dyDescent="0.3">
      <c r="A388" t="s">
        <v>2262</v>
      </c>
      <c r="B388" t="s">
        <v>13</v>
      </c>
      <c r="C388" t="s">
        <v>2263</v>
      </c>
      <c r="D388" t="s">
        <v>2241</v>
      </c>
      <c r="E388" t="s">
        <v>2264</v>
      </c>
      <c r="F388" t="s">
        <v>16</v>
      </c>
      <c r="G388" s="2">
        <v>44826</v>
      </c>
      <c r="H388">
        <v>2012</v>
      </c>
      <c r="I388" t="s">
        <v>74</v>
      </c>
      <c r="J388" t="s">
        <v>272</v>
      </c>
      <c r="K388" t="s">
        <v>2265</v>
      </c>
      <c r="L388" t="s">
        <v>2266</v>
      </c>
    </row>
    <row r="389" spans="1:12" x14ac:dyDescent="0.3">
      <c r="A389" t="s">
        <v>2267</v>
      </c>
      <c r="B389" t="s">
        <v>22</v>
      </c>
      <c r="C389" t="s">
        <v>2268</v>
      </c>
      <c r="D389" t="s">
        <v>2963</v>
      </c>
      <c r="E389" t="s">
        <v>2269</v>
      </c>
      <c r="F389" t="s">
        <v>16</v>
      </c>
      <c r="G389" s="2">
        <v>44827</v>
      </c>
      <c r="H389">
        <v>2019</v>
      </c>
      <c r="I389" t="s">
        <v>100</v>
      </c>
      <c r="J389" t="s">
        <v>27</v>
      </c>
      <c r="K389" t="s">
        <v>2270</v>
      </c>
      <c r="L389" t="s">
        <v>2271</v>
      </c>
    </row>
    <row r="390" spans="1:12" x14ac:dyDescent="0.3">
      <c r="A390" t="s">
        <v>2272</v>
      </c>
      <c r="B390" t="s">
        <v>13</v>
      </c>
      <c r="C390" t="s">
        <v>2273</v>
      </c>
      <c r="D390" t="s">
        <v>2274</v>
      </c>
      <c r="E390" t="s">
        <v>2275</v>
      </c>
      <c r="F390" t="s">
        <v>16</v>
      </c>
      <c r="G390" s="2">
        <v>44828</v>
      </c>
      <c r="H390">
        <v>2018</v>
      </c>
      <c r="I390" t="s">
        <v>26</v>
      </c>
      <c r="J390" t="s">
        <v>93</v>
      </c>
      <c r="K390" t="s">
        <v>2276</v>
      </c>
      <c r="L390" t="s">
        <v>2277</v>
      </c>
    </row>
    <row r="391" spans="1:12" x14ac:dyDescent="0.3">
      <c r="A391" t="s">
        <v>2278</v>
      </c>
      <c r="B391" t="s">
        <v>13</v>
      </c>
      <c r="C391" t="s">
        <v>2279</v>
      </c>
      <c r="D391" t="s">
        <v>2280</v>
      </c>
      <c r="E391" t="s">
        <v>2281</v>
      </c>
      <c r="F391" t="s">
        <v>16</v>
      </c>
      <c r="G391" s="2">
        <v>44829</v>
      </c>
      <c r="H391">
        <v>2019</v>
      </c>
      <c r="I391" t="s">
        <v>74</v>
      </c>
      <c r="J391" t="s">
        <v>532</v>
      </c>
      <c r="K391" t="s">
        <v>2282</v>
      </c>
      <c r="L391" t="s">
        <v>2283</v>
      </c>
    </row>
    <row r="392" spans="1:12" x14ac:dyDescent="0.3">
      <c r="A392" t="s">
        <v>2284</v>
      </c>
      <c r="B392" t="s">
        <v>13</v>
      </c>
      <c r="C392" t="s">
        <v>2285</v>
      </c>
      <c r="D392" t="s">
        <v>1085</v>
      </c>
      <c r="E392" t="s">
        <v>2286</v>
      </c>
      <c r="F392" t="s">
        <v>16</v>
      </c>
      <c r="G392" s="2">
        <v>44830</v>
      </c>
      <c r="H392">
        <v>2019</v>
      </c>
      <c r="I392" t="s">
        <v>74</v>
      </c>
      <c r="J392" t="s">
        <v>289</v>
      </c>
      <c r="K392" t="s">
        <v>2287</v>
      </c>
      <c r="L392" t="s">
        <v>2288</v>
      </c>
    </row>
    <row r="393" spans="1:12" x14ac:dyDescent="0.3">
      <c r="A393" t="s">
        <v>2289</v>
      </c>
      <c r="B393" t="s">
        <v>13</v>
      </c>
      <c r="C393" t="s">
        <v>2290</v>
      </c>
      <c r="D393" t="s">
        <v>2291</v>
      </c>
      <c r="E393" t="s">
        <v>2292</v>
      </c>
      <c r="F393" t="s">
        <v>16</v>
      </c>
      <c r="G393" s="2">
        <v>44831</v>
      </c>
      <c r="H393">
        <v>2019</v>
      </c>
      <c r="I393" t="s">
        <v>26</v>
      </c>
      <c r="J393" t="s">
        <v>58</v>
      </c>
      <c r="K393" t="s">
        <v>2293</v>
      </c>
      <c r="L393" t="s">
        <v>2294</v>
      </c>
    </row>
    <row r="394" spans="1:12" x14ac:dyDescent="0.3">
      <c r="A394" t="s">
        <v>2295</v>
      </c>
      <c r="B394" t="s">
        <v>13</v>
      </c>
      <c r="C394" t="s">
        <v>2296</v>
      </c>
      <c r="D394" t="s">
        <v>2297</v>
      </c>
      <c r="E394" t="s">
        <v>2298</v>
      </c>
      <c r="F394" t="s">
        <v>16</v>
      </c>
      <c r="G394" s="2">
        <v>44832</v>
      </c>
      <c r="H394">
        <v>2019</v>
      </c>
      <c r="I394" t="s">
        <v>26</v>
      </c>
      <c r="J394" t="s">
        <v>1877</v>
      </c>
      <c r="K394" t="s">
        <v>2299</v>
      </c>
      <c r="L394" t="s">
        <v>2300</v>
      </c>
    </row>
    <row r="395" spans="1:12" x14ac:dyDescent="0.3">
      <c r="A395" t="s">
        <v>2301</v>
      </c>
      <c r="B395" t="s">
        <v>22</v>
      </c>
      <c r="C395" t="s">
        <v>2302</v>
      </c>
      <c r="D395" t="s">
        <v>2963</v>
      </c>
      <c r="E395" t="s">
        <v>2303</v>
      </c>
      <c r="F395" t="s">
        <v>16</v>
      </c>
      <c r="G395" s="2">
        <v>44833</v>
      </c>
      <c r="H395">
        <v>2019</v>
      </c>
      <c r="I395" t="s">
        <v>26</v>
      </c>
      <c r="J395" t="s">
        <v>34</v>
      </c>
      <c r="K395" t="s">
        <v>2304</v>
      </c>
      <c r="L395" t="s">
        <v>2305</v>
      </c>
    </row>
    <row r="396" spans="1:12" x14ac:dyDescent="0.3">
      <c r="A396" t="s">
        <v>2306</v>
      </c>
      <c r="B396" t="s">
        <v>22</v>
      </c>
      <c r="C396" t="s">
        <v>2307</v>
      </c>
      <c r="D396" t="s">
        <v>2963</v>
      </c>
      <c r="E396" t="s">
        <v>2308</v>
      </c>
      <c r="F396" t="s">
        <v>16</v>
      </c>
      <c r="G396" s="2">
        <v>44834</v>
      </c>
      <c r="H396">
        <v>2019</v>
      </c>
      <c r="I396" t="s">
        <v>26</v>
      </c>
      <c r="J396" t="s">
        <v>110</v>
      </c>
      <c r="K396" t="s">
        <v>2309</v>
      </c>
      <c r="L396" t="s">
        <v>2310</v>
      </c>
    </row>
    <row r="397" spans="1:12" x14ac:dyDescent="0.3">
      <c r="A397" t="s">
        <v>2311</v>
      </c>
      <c r="B397" t="s">
        <v>22</v>
      </c>
      <c r="C397" t="s">
        <v>2312</v>
      </c>
      <c r="D397" t="s">
        <v>2963</v>
      </c>
      <c r="E397" t="s">
        <v>1529</v>
      </c>
      <c r="F397" t="s">
        <v>16</v>
      </c>
      <c r="G397" s="2">
        <v>44835</v>
      </c>
      <c r="H397">
        <v>2019</v>
      </c>
      <c r="I397" t="s">
        <v>100</v>
      </c>
      <c r="J397" t="s">
        <v>34</v>
      </c>
      <c r="K397" t="s">
        <v>2313</v>
      </c>
      <c r="L397" t="s">
        <v>2314</v>
      </c>
    </row>
    <row r="398" spans="1:12" x14ac:dyDescent="0.3">
      <c r="A398" t="s">
        <v>2315</v>
      </c>
      <c r="B398" t="s">
        <v>13</v>
      </c>
      <c r="C398" t="s">
        <v>2316</v>
      </c>
      <c r="D398" t="s">
        <v>2317</v>
      </c>
      <c r="E398" t="s">
        <v>2318</v>
      </c>
      <c r="F398" t="s">
        <v>16</v>
      </c>
      <c r="G398" s="2">
        <v>44836</v>
      </c>
      <c r="H398">
        <v>2016</v>
      </c>
      <c r="I398" t="s">
        <v>74</v>
      </c>
      <c r="J398" t="s">
        <v>174</v>
      </c>
      <c r="K398" t="s">
        <v>2319</v>
      </c>
      <c r="L398" t="s">
        <v>2320</v>
      </c>
    </row>
    <row r="399" spans="1:12" x14ac:dyDescent="0.3">
      <c r="A399" t="s">
        <v>2321</v>
      </c>
      <c r="B399" t="s">
        <v>22</v>
      </c>
      <c r="C399" t="s">
        <v>2322</v>
      </c>
      <c r="D399" t="s">
        <v>2963</v>
      </c>
      <c r="E399" t="s">
        <v>2323</v>
      </c>
      <c r="F399" t="s">
        <v>16</v>
      </c>
      <c r="G399" s="2">
        <v>44837</v>
      </c>
      <c r="H399">
        <v>2019</v>
      </c>
      <c r="I399" t="s">
        <v>26</v>
      </c>
      <c r="J399" t="s">
        <v>194</v>
      </c>
      <c r="K399" t="s">
        <v>2324</v>
      </c>
      <c r="L399" t="s">
        <v>2325</v>
      </c>
    </row>
    <row r="400" spans="1:12" x14ac:dyDescent="0.3">
      <c r="A400" t="s">
        <v>2326</v>
      </c>
      <c r="B400" t="s">
        <v>22</v>
      </c>
      <c r="C400" t="s">
        <v>2327</v>
      </c>
      <c r="D400" t="s">
        <v>2963</v>
      </c>
      <c r="E400" t="s">
        <v>2328</v>
      </c>
      <c r="F400" t="s">
        <v>16</v>
      </c>
      <c r="G400" s="2">
        <v>44838</v>
      </c>
      <c r="H400">
        <v>2018</v>
      </c>
      <c r="I400" t="s">
        <v>26</v>
      </c>
      <c r="J400" t="s">
        <v>194</v>
      </c>
      <c r="K400" t="s">
        <v>2329</v>
      </c>
      <c r="L400" t="s">
        <v>2330</v>
      </c>
    </row>
    <row r="401" spans="1:12" x14ac:dyDescent="0.3">
      <c r="A401" t="s">
        <v>2331</v>
      </c>
      <c r="B401" t="s">
        <v>22</v>
      </c>
      <c r="C401" t="s">
        <v>2332</v>
      </c>
      <c r="D401" t="s">
        <v>2963</v>
      </c>
      <c r="E401" t="s">
        <v>2333</v>
      </c>
      <c r="F401" t="s">
        <v>16</v>
      </c>
      <c r="G401" s="2">
        <v>44839</v>
      </c>
      <c r="H401">
        <v>2017</v>
      </c>
      <c r="I401" t="s">
        <v>74</v>
      </c>
      <c r="J401" t="s">
        <v>34</v>
      </c>
      <c r="K401" t="s">
        <v>2334</v>
      </c>
      <c r="L401" t="s">
        <v>2335</v>
      </c>
    </row>
    <row r="402" spans="1:12" x14ac:dyDescent="0.3">
      <c r="A402" t="s">
        <v>2336</v>
      </c>
      <c r="B402" t="s">
        <v>22</v>
      </c>
      <c r="C402" t="s">
        <v>2337</v>
      </c>
      <c r="D402" t="s">
        <v>2963</v>
      </c>
      <c r="E402" t="s">
        <v>2338</v>
      </c>
      <c r="F402" t="s">
        <v>16</v>
      </c>
      <c r="G402" s="2">
        <v>44840</v>
      </c>
      <c r="H402">
        <v>2019</v>
      </c>
      <c r="I402" t="s">
        <v>26</v>
      </c>
      <c r="J402" t="s">
        <v>27</v>
      </c>
      <c r="K402" t="s">
        <v>2339</v>
      </c>
      <c r="L402" t="s">
        <v>2340</v>
      </c>
    </row>
    <row r="403" spans="1:12" x14ac:dyDescent="0.3">
      <c r="A403" t="s">
        <v>2341</v>
      </c>
      <c r="B403" t="s">
        <v>13</v>
      </c>
      <c r="C403" t="s">
        <v>2342</v>
      </c>
      <c r="D403" t="s">
        <v>2343</v>
      </c>
      <c r="E403" t="s">
        <v>2344</v>
      </c>
      <c r="F403" t="s">
        <v>16</v>
      </c>
      <c r="G403" s="2">
        <v>44841</v>
      </c>
      <c r="H403">
        <v>2011</v>
      </c>
      <c r="I403" t="s">
        <v>26</v>
      </c>
      <c r="J403" t="s">
        <v>1819</v>
      </c>
      <c r="K403" t="s">
        <v>2345</v>
      </c>
      <c r="L403" t="s">
        <v>2346</v>
      </c>
    </row>
    <row r="404" spans="1:12" x14ac:dyDescent="0.3">
      <c r="A404" t="s">
        <v>2347</v>
      </c>
      <c r="B404" t="s">
        <v>22</v>
      </c>
      <c r="C404" t="s">
        <v>2348</v>
      </c>
      <c r="D404" t="s">
        <v>2963</v>
      </c>
      <c r="E404" t="s">
        <v>2349</v>
      </c>
      <c r="F404" t="s">
        <v>16</v>
      </c>
      <c r="G404" s="2">
        <v>44842</v>
      </c>
      <c r="H404">
        <v>2018</v>
      </c>
      <c r="I404" t="s">
        <v>26</v>
      </c>
      <c r="J404" t="s">
        <v>139</v>
      </c>
      <c r="K404" t="s">
        <v>2350</v>
      </c>
      <c r="L404" t="s">
        <v>2351</v>
      </c>
    </row>
    <row r="405" spans="1:12" x14ac:dyDescent="0.3">
      <c r="A405" t="s">
        <v>2352</v>
      </c>
      <c r="B405" t="s">
        <v>22</v>
      </c>
      <c r="C405" t="s">
        <v>2353</v>
      </c>
      <c r="D405" t="s">
        <v>2963</v>
      </c>
      <c r="E405" t="s">
        <v>2354</v>
      </c>
      <c r="F405" t="s">
        <v>16</v>
      </c>
      <c r="G405" s="2">
        <v>44843</v>
      </c>
      <c r="H405">
        <v>2018</v>
      </c>
      <c r="I405" t="s">
        <v>26</v>
      </c>
      <c r="J405" t="s">
        <v>27</v>
      </c>
      <c r="K405" t="s">
        <v>2355</v>
      </c>
      <c r="L405" t="s">
        <v>2356</v>
      </c>
    </row>
    <row r="406" spans="1:12" x14ac:dyDescent="0.3">
      <c r="A406" t="s">
        <v>2357</v>
      </c>
      <c r="B406" t="s">
        <v>22</v>
      </c>
      <c r="C406" t="s">
        <v>2358</v>
      </c>
      <c r="D406" t="s">
        <v>2963</v>
      </c>
      <c r="E406" t="s">
        <v>2359</v>
      </c>
      <c r="F406" t="s">
        <v>16</v>
      </c>
      <c r="G406" s="2">
        <v>44844</v>
      </c>
      <c r="H406">
        <v>2018</v>
      </c>
      <c r="I406" t="s">
        <v>74</v>
      </c>
      <c r="J406" t="s">
        <v>27</v>
      </c>
      <c r="K406" t="s">
        <v>2360</v>
      </c>
      <c r="L406" t="s">
        <v>2361</v>
      </c>
    </row>
    <row r="407" spans="1:12" x14ac:dyDescent="0.3">
      <c r="A407" t="s">
        <v>2362</v>
      </c>
      <c r="B407" t="s">
        <v>22</v>
      </c>
      <c r="C407" t="s">
        <v>2363</v>
      </c>
      <c r="D407" t="s">
        <v>2963</v>
      </c>
      <c r="E407" t="s">
        <v>2364</v>
      </c>
      <c r="F407" t="s">
        <v>16</v>
      </c>
      <c r="G407" s="2">
        <v>44845</v>
      </c>
      <c r="H407">
        <v>2016</v>
      </c>
      <c r="I407" t="s">
        <v>74</v>
      </c>
      <c r="J407" t="s">
        <v>34</v>
      </c>
      <c r="K407" t="s">
        <v>2365</v>
      </c>
      <c r="L407" t="s">
        <v>2366</v>
      </c>
    </row>
    <row r="408" spans="1:12" x14ac:dyDescent="0.3">
      <c r="A408" t="s">
        <v>2367</v>
      </c>
      <c r="B408" t="s">
        <v>22</v>
      </c>
      <c r="C408" t="s">
        <v>2368</v>
      </c>
      <c r="D408" t="s">
        <v>2963</v>
      </c>
      <c r="E408" t="s">
        <v>2369</v>
      </c>
      <c r="F408" t="s">
        <v>16</v>
      </c>
      <c r="G408" s="2">
        <v>44846</v>
      </c>
      <c r="H408">
        <v>2017</v>
      </c>
      <c r="I408" t="s">
        <v>26</v>
      </c>
      <c r="J408" t="s">
        <v>34</v>
      </c>
      <c r="K408" t="s">
        <v>2370</v>
      </c>
      <c r="L408" t="s">
        <v>2371</v>
      </c>
    </row>
    <row r="409" spans="1:12" x14ac:dyDescent="0.3">
      <c r="A409" t="s">
        <v>2372</v>
      </c>
      <c r="B409" t="s">
        <v>22</v>
      </c>
      <c r="C409" t="s">
        <v>2373</v>
      </c>
      <c r="D409" t="s">
        <v>2963</v>
      </c>
      <c r="E409" t="s">
        <v>2374</v>
      </c>
      <c r="F409" t="s">
        <v>16</v>
      </c>
      <c r="G409" s="2">
        <v>44847</v>
      </c>
      <c r="H409">
        <v>2018</v>
      </c>
      <c r="I409" t="s">
        <v>26</v>
      </c>
      <c r="J409" t="s">
        <v>34</v>
      </c>
      <c r="K409" t="s">
        <v>2375</v>
      </c>
      <c r="L409" t="s">
        <v>2376</v>
      </c>
    </row>
    <row r="410" spans="1:12" x14ac:dyDescent="0.3">
      <c r="A410" t="s">
        <v>2377</v>
      </c>
      <c r="B410" t="s">
        <v>22</v>
      </c>
      <c r="C410" t="s">
        <v>2378</v>
      </c>
      <c r="D410" t="s">
        <v>2963</v>
      </c>
      <c r="E410" t="s">
        <v>2379</v>
      </c>
      <c r="F410" t="s">
        <v>16</v>
      </c>
      <c r="G410" s="2">
        <v>44848</v>
      </c>
      <c r="H410">
        <v>2018</v>
      </c>
      <c r="I410" t="s">
        <v>205</v>
      </c>
      <c r="J410" t="s">
        <v>27</v>
      </c>
      <c r="K410" t="s">
        <v>2380</v>
      </c>
      <c r="L410" t="s">
        <v>2381</v>
      </c>
    </row>
    <row r="411" spans="1:12" x14ac:dyDescent="0.3">
      <c r="A411" t="s">
        <v>2382</v>
      </c>
      <c r="B411" t="s">
        <v>13</v>
      </c>
      <c r="C411" t="s">
        <v>2383</v>
      </c>
      <c r="D411" t="s">
        <v>2384</v>
      </c>
      <c r="E411" t="s">
        <v>2385</v>
      </c>
      <c r="F411" t="s">
        <v>16</v>
      </c>
      <c r="G411" s="2">
        <v>44849</v>
      </c>
      <c r="H411">
        <v>2018</v>
      </c>
      <c r="I411" t="s">
        <v>26</v>
      </c>
      <c r="J411" t="s">
        <v>289</v>
      </c>
      <c r="K411" t="s">
        <v>2386</v>
      </c>
      <c r="L411" t="s">
        <v>2387</v>
      </c>
    </row>
    <row r="412" spans="1:12" x14ac:dyDescent="0.3">
      <c r="A412" t="s">
        <v>2388</v>
      </c>
      <c r="B412" t="s">
        <v>22</v>
      </c>
      <c r="C412" t="s">
        <v>2389</v>
      </c>
      <c r="D412" t="s">
        <v>2963</v>
      </c>
      <c r="E412" t="s">
        <v>2390</v>
      </c>
      <c r="F412" t="s">
        <v>16</v>
      </c>
      <c r="G412" s="2">
        <v>44850</v>
      </c>
      <c r="H412">
        <v>2018</v>
      </c>
      <c r="I412" t="s">
        <v>100</v>
      </c>
      <c r="J412" t="s">
        <v>34</v>
      </c>
      <c r="K412" t="s">
        <v>2391</v>
      </c>
      <c r="L412" t="s">
        <v>2392</v>
      </c>
    </row>
    <row r="413" spans="1:12" x14ac:dyDescent="0.3">
      <c r="A413" t="s">
        <v>2393</v>
      </c>
      <c r="B413" t="s">
        <v>13</v>
      </c>
      <c r="C413" t="s">
        <v>2394</v>
      </c>
      <c r="D413" t="s">
        <v>2395</v>
      </c>
      <c r="E413" t="s">
        <v>2396</v>
      </c>
      <c r="F413" t="s">
        <v>16</v>
      </c>
      <c r="G413" s="2">
        <v>44851</v>
      </c>
      <c r="H413">
        <v>2018</v>
      </c>
      <c r="I413" t="s">
        <v>264</v>
      </c>
      <c r="J413" t="s">
        <v>212</v>
      </c>
      <c r="K413" t="s">
        <v>2397</v>
      </c>
      <c r="L413" t="s">
        <v>2398</v>
      </c>
    </row>
    <row r="414" spans="1:12" x14ac:dyDescent="0.3">
      <c r="A414" t="s">
        <v>2399</v>
      </c>
      <c r="B414" t="s">
        <v>22</v>
      </c>
      <c r="C414" t="s">
        <v>2400</v>
      </c>
      <c r="D414" t="s">
        <v>2963</v>
      </c>
      <c r="E414" t="s">
        <v>2401</v>
      </c>
      <c r="F414" t="s">
        <v>16</v>
      </c>
      <c r="G414" s="2">
        <v>44852</v>
      </c>
      <c r="H414">
        <v>2014</v>
      </c>
      <c r="I414" t="s">
        <v>26</v>
      </c>
      <c r="J414" t="s">
        <v>34</v>
      </c>
      <c r="K414" t="s">
        <v>2402</v>
      </c>
      <c r="L414" t="s">
        <v>2403</v>
      </c>
    </row>
    <row r="415" spans="1:12" x14ac:dyDescent="0.3">
      <c r="A415" t="s">
        <v>2406</v>
      </c>
      <c r="B415" t="s">
        <v>13</v>
      </c>
      <c r="C415" t="s">
        <v>2407</v>
      </c>
      <c r="D415" t="s">
        <v>2404</v>
      </c>
      <c r="E415" t="s">
        <v>2405</v>
      </c>
      <c r="F415" t="s">
        <v>16</v>
      </c>
      <c r="G415" s="2">
        <v>44853</v>
      </c>
      <c r="H415">
        <v>2000</v>
      </c>
      <c r="I415" t="s">
        <v>26</v>
      </c>
      <c r="J415" t="s">
        <v>2117</v>
      </c>
      <c r="K415" t="s">
        <v>2408</v>
      </c>
      <c r="L415" t="s">
        <v>2409</v>
      </c>
    </row>
    <row r="416" spans="1:12" x14ac:dyDescent="0.3">
      <c r="A416" t="s">
        <v>2410</v>
      </c>
      <c r="B416" t="s">
        <v>22</v>
      </c>
      <c r="C416" t="s">
        <v>2411</v>
      </c>
      <c r="D416" t="s">
        <v>2963</v>
      </c>
      <c r="E416" t="s">
        <v>2963</v>
      </c>
      <c r="F416" t="s">
        <v>16</v>
      </c>
      <c r="G416" s="2">
        <v>44854</v>
      </c>
      <c r="H416">
        <v>2018</v>
      </c>
      <c r="I416" t="s">
        <v>26</v>
      </c>
      <c r="J416" t="s">
        <v>34</v>
      </c>
      <c r="K416" t="s">
        <v>2412</v>
      </c>
      <c r="L416" t="s">
        <v>2413</v>
      </c>
    </row>
    <row r="417" spans="1:12" x14ac:dyDescent="0.3">
      <c r="A417" t="s">
        <v>2414</v>
      </c>
      <c r="B417" t="s">
        <v>22</v>
      </c>
      <c r="C417" t="s">
        <v>2415</v>
      </c>
      <c r="D417" t="s">
        <v>2963</v>
      </c>
      <c r="E417" t="s">
        <v>2416</v>
      </c>
      <c r="F417" t="s">
        <v>16</v>
      </c>
      <c r="G417" s="2">
        <v>44855</v>
      </c>
      <c r="H417">
        <v>2018</v>
      </c>
      <c r="I417" t="s">
        <v>26</v>
      </c>
      <c r="J417" t="s">
        <v>34</v>
      </c>
      <c r="K417" t="s">
        <v>2417</v>
      </c>
      <c r="L417" t="s">
        <v>2418</v>
      </c>
    </row>
    <row r="418" spans="1:12" x14ac:dyDescent="0.3">
      <c r="A418" t="s">
        <v>2419</v>
      </c>
      <c r="B418" t="s">
        <v>22</v>
      </c>
      <c r="C418" t="s">
        <v>2420</v>
      </c>
      <c r="D418" t="s">
        <v>2963</v>
      </c>
      <c r="E418" t="s">
        <v>2421</v>
      </c>
      <c r="F418" t="s">
        <v>16</v>
      </c>
      <c r="G418" s="2">
        <v>44856</v>
      </c>
      <c r="H418">
        <v>2018</v>
      </c>
      <c r="I418" t="s">
        <v>26</v>
      </c>
      <c r="J418" t="s">
        <v>27</v>
      </c>
      <c r="K418" t="s">
        <v>2422</v>
      </c>
      <c r="L418" t="s">
        <v>2423</v>
      </c>
    </row>
    <row r="419" spans="1:12" x14ac:dyDescent="0.3">
      <c r="A419" t="s">
        <v>2424</v>
      </c>
      <c r="B419" t="s">
        <v>22</v>
      </c>
      <c r="C419" t="s">
        <v>2425</v>
      </c>
      <c r="D419" t="s">
        <v>2963</v>
      </c>
      <c r="E419" t="s">
        <v>2426</v>
      </c>
      <c r="F419" t="s">
        <v>16</v>
      </c>
      <c r="G419" s="2">
        <v>44857</v>
      </c>
      <c r="H419">
        <v>2018</v>
      </c>
      <c r="I419" t="s">
        <v>307</v>
      </c>
      <c r="J419" t="s">
        <v>34</v>
      </c>
      <c r="K419" t="s">
        <v>2427</v>
      </c>
      <c r="L419" t="s">
        <v>2428</v>
      </c>
    </row>
    <row r="420" spans="1:12" x14ac:dyDescent="0.3">
      <c r="A420" t="s">
        <v>2429</v>
      </c>
      <c r="B420" t="s">
        <v>22</v>
      </c>
      <c r="C420" t="s">
        <v>2430</v>
      </c>
      <c r="D420" t="s">
        <v>2963</v>
      </c>
      <c r="E420" t="s">
        <v>2431</v>
      </c>
      <c r="F420" t="s">
        <v>16</v>
      </c>
      <c r="G420" s="2">
        <v>44858</v>
      </c>
      <c r="H420">
        <v>2018</v>
      </c>
      <c r="I420" t="s">
        <v>100</v>
      </c>
      <c r="J420" t="s">
        <v>194</v>
      </c>
      <c r="K420" t="s">
        <v>2432</v>
      </c>
      <c r="L420" t="s">
        <v>2433</v>
      </c>
    </row>
    <row r="421" spans="1:12" x14ac:dyDescent="0.3">
      <c r="A421" t="s">
        <v>2434</v>
      </c>
      <c r="B421" t="s">
        <v>13</v>
      </c>
      <c r="C421" t="s">
        <v>2435</v>
      </c>
      <c r="D421" t="s">
        <v>2436</v>
      </c>
      <c r="E421" t="s">
        <v>2437</v>
      </c>
      <c r="F421" t="s">
        <v>16</v>
      </c>
      <c r="G421" s="2">
        <v>44859</v>
      </c>
      <c r="H421">
        <v>2014</v>
      </c>
      <c r="I421" t="s">
        <v>26</v>
      </c>
      <c r="J421" t="s">
        <v>174</v>
      </c>
      <c r="K421" t="s">
        <v>2438</v>
      </c>
      <c r="L421" t="s">
        <v>2439</v>
      </c>
    </row>
    <row r="422" spans="1:12" x14ac:dyDescent="0.3">
      <c r="A422" t="s">
        <v>2440</v>
      </c>
      <c r="B422" t="s">
        <v>22</v>
      </c>
      <c r="C422" t="s">
        <v>2441</v>
      </c>
      <c r="D422" t="s">
        <v>2963</v>
      </c>
      <c r="E422" t="s">
        <v>2442</v>
      </c>
      <c r="F422" t="s">
        <v>16</v>
      </c>
      <c r="G422" s="2">
        <v>44860</v>
      </c>
      <c r="H422">
        <v>2017</v>
      </c>
      <c r="I422" t="s">
        <v>205</v>
      </c>
      <c r="J422" t="s">
        <v>110</v>
      </c>
      <c r="K422" t="s">
        <v>2443</v>
      </c>
      <c r="L422" t="s">
        <v>2444</v>
      </c>
    </row>
    <row r="423" spans="1:12" x14ac:dyDescent="0.3">
      <c r="A423" t="s">
        <v>2445</v>
      </c>
      <c r="B423" t="s">
        <v>13</v>
      </c>
      <c r="C423" t="s">
        <v>2446</v>
      </c>
      <c r="D423" t="s">
        <v>2447</v>
      </c>
      <c r="E423" t="s">
        <v>2448</v>
      </c>
      <c r="F423" t="s">
        <v>16</v>
      </c>
      <c r="G423" s="2">
        <v>44861</v>
      </c>
      <c r="H423">
        <v>2018</v>
      </c>
      <c r="I423" t="s">
        <v>74</v>
      </c>
      <c r="J423" t="s">
        <v>219</v>
      </c>
      <c r="K423" t="s">
        <v>2449</v>
      </c>
      <c r="L423" t="s">
        <v>2450</v>
      </c>
    </row>
    <row r="424" spans="1:12" x14ac:dyDescent="0.3">
      <c r="A424" t="s">
        <v>2451</v>
      </c>
      <c r="B424" t="s">
        <v>13</v>
      </c>
      <c r="C424" t="s">
        <v>2452</v>
      </c>
      <c r="D424" t="s">
        <v>2453</v>
      </c>
      <c r="E424" t="s">
        <v>2454</v>
      </c>
      <c r="F424" t="s">
        <v>16</v>
      </c>
      <c r="G424" s="2">
        <v>44862</v>
      </c>
      <c r="H424">
        <v>2018</v>
      </c>
      <c r="I424" t="s">
        <v>74</v>
      </c>
      <c r="J424" t="s">
        <v>1353</v>
      </c>
      <c r="K424" t="s">
        <v>2455</v>
      </c>
      <c r="L424" t="s">
        <v>2456</v>
      </c>
    </row>
    <row r="425" spans="1:12" x14ac:dyDescent="0.3">
      <c r="A425" t="s">
        <v>2457</v>
      </c>
      <c r="B425" t="s">
        <v>22</v>
      </c>
      <c r="C425" t="s">
        <v>2458</v>
      </c>
      <c r="D425" t="s">
        <v>2459</v>
      </c>
      <c r="E425" t="s">
        <v>2460</v>
      </c>
      <c r="F425" t="s">
        <v>16</v>
      </c>
      <c r="G425" s="2">
        <v>44863</v>
      </c>
      <c r="H425">
        <v>2018</v>
      </c>
      <c r="I425" t="s">
        <v>74</v>
      </c>
      <c r="J425" t="s">
        <v>34</v>
      </c>
      <c r="K425" t="s">
        <v>2461</v>
      </c>
      <c r="L425" t="s">
        <v>2462</v>
      </c>
    </row>
    <row r="426" spans="1:12" x14ac:dyDescent="0.3">
      <c r="A426" t="s">
        <v>2463</v>
      </c>
      <c r="B426" t="s">
        <v>13</v>
      </c>
      <c r="C426" t="s">
        <v>2464</v>
      </c>
      <c r="D426" t="s">
        <v>2465</v>
      </c>
      <c r="E426" t="s">
        <v>2466</v>
      </c>
      <c r="F426" t="s">
        <v>16</v>
      </c>
      <c r="G426" s="2">
        <v>44864</v>
      </c>
      <c r="H426">
        <v>2017</v>
      </c>
      <c r="I426" t="s">
        <v>26</v>
      </c>
      <c r="J426" t="s">
        <v>464</v>
      </c>
      <c r="K426" t="s">
        <v>2467</v>
      </c>
      <c r="L426" t="s">
        <v>2468</v>
      </c>
    </row>
    <row r="427" spans="1:12" x14ac:dyDescent="0.3">
      <c r="A427" t="s">
        <v>2469</v>
      </c>
      <c r="B427" t="s">
        <v>22</v>
      </c>
      <c r="C427" t="s">
        <v>2470</v>
      </c>
      <c r="D427" t="s">
        <v>2963</v>
      </c>
      <c r="E427" t="s">
        <v>2471</v>
      </c>
      <c r="F427" t="s">
        <v>16</v>
      </c>
      <c r="G427" s="2">
        <v>44865</v>
      </c>
      <c r="H427">
        <v>2017</v>
      </c>
      <c r="I427" t="s">
        <v>26</v>
      </c>
      <c r="J427" t="s">
        <v>139</v>
      </c>
      <c r="K427" t="s">
        <v>2472</v>
      </c>
      <c r="L427" t="s">
        <v>2473</v>
      </c>
    </row>
    <row r="428" spans="1:12" x14ac:dyDescent="0.3">
      <c r="A428" t="s">
        <v>2474</v>
      </c>
      <c r="B428" t="s">
        <v>13</v>
      </c>
      <c r="C428" t="s">
        <v>2475</v>
      </c>
      <c r="D428" t="s">
        <v>2476</v>
      </c>
      <c r="E428" t="s">
        <v>2477</v>
      </c>
      <c r="F428" t="s">
        <v>16</v>
      </c>
      <c r="G428" s="2">
        <v>44866</v>
      </c>
      <c r="H428">
        <v>2017</v>
      </c>
      <c r="I428" t="s">
        <v>17</v>
      </c>
      <c r="J428" t="s">
        <v>1409</v>
      </c>
      <c r="K428" t="s">
        <v>2478</v>
      </c>
      <c r="L428" t="s">
        <v>2479</v>
      </c>
    </row>
    <row r="429" spans="1:12" x14ac:dyDescent="0.3">
      <c r="A429" t="s">
        <v>2480</v>
      </c>
      <c r="B429" t="s">
        <v>22</v>
      </c>
      <c r="C429" t="s">
        <v>2481</v>
      </c>
      <c r="D429" t="s">
        <v>2963</v>
      </c>
      <c r="E429" t="s">
        <v>2482</v>
      </c>
      <c r="F429" t="s">
        <v>16</v>
      </c>
      <c r="G429" s="2">
        <v>44867</v>
      </c>
      <c r="H429">
        <v>2017</v>
      </c>
      <c r="I429" t="s">
        <v>74</v>
      </c>
      <c r="J429" t="s">
        <v>34</v>
      </c>
      <c r="K429" t="s">
        <v>2483</v>
      </c>
      <c r="L429" t="s">
        <v>2484</v>
      </c>
    </row>
    <row r="430" spans="1:12" x14ac:dyDescent="0.3">
      <c r="A430" t="s">
        <v>2485</v>
      </c>
      <c r="B430" t="s">
        <v>22</v>
      </c>
      <c r="C430" t="s">
        <v>2486</v>
      </c>
      <c r="D430" t="s">
        <v>2963</v>
      </c>
      <c r="E430" t="s">
        <v>2487</v>
      </c>
      <c r="F430" t="s">
        <v>16</v>
      </c>
      <c r="G430" s="2">
        <v>44868</v>
      </c>
      <c r="H430">
        <v>2017</v>
      </c>
      <c r="I430" t="s">
        <v>74</v>
      </c>
      <c r="J430" t="s">
        <v>194</v>
      </c>
      <c r="K430" t="s">
        <v>2488</v>
      </c>
      <c r="L430" t="s">
        <v>2489</v>
      </c>
    </row>
    <row r="431" spans="1:12" x14ac:dyDescent="0.3">
      <c r="A431" t="s">
        <v>2490</v>
      </c>
      <c r="B431" t="s">
        <v>13</v>
      </c>
      <c r="C431" t="s">
        <v>2491</v>
      </c>
      <c r="D431" t="s">
        <v>2492</v>
      </c>
      <c r="E431" t="s">
        <v>2493</v>
      </c>
      <c r="F431" t="s">
        <v>16</v>
      </c>
      <c r="G431" s="2">
        <v>44869</v>
      </c>
      <c r="H431">
        <v>2016</v>
      </c>
      <c r="I431" t="s">
        <v>26</v>
      </c>
      <c r="J431" t="s">
        <v>708</v>
      </c>
      <c r="K431" t="s">
        <v>2494</v>
      </c>
      <c r="L431" t="s">
        <v>2495</v>
      </c>
    </row>
    <row r="432" spans="1:12" x14ac:dyDescent="0.3">
      <c r="A432" t="s">
        <v>2496</v>
      </c>
      <c r="B432" t="s">
        <v>13</v>
      </c>
      <c r="C432" t="s">
        <v>2497</v>
      </c>
      <c r="D432" t="s">
        <v>2498</v>
      </c>
      <c r="E432" t="s">
        <v>2499</v>
      </c>
      <c r="F432" t="s">
        <v>16</v>
      </c>
      <c r="G432" s="2">
        <v>44870</v>
      </c>
      <c r="H432">
        <v>2017</v>
      </c>
      <c r="I432" t="s">
        <v>26</v>
      </c>
      <c r="J432" t="s">
        <v>292</v>
      </c>
      <c r="K432" t="s">
        <v>2500</v>
      </c>
      <c r="L432" t="s">
        <v>2501</v>
      </c>
    </row>
    <row r="433" spans="1:12" x14ac:dyDescent="0.3">
      <c r="A433" t="s">
        <v>2502</v>
      </c>
      <c r="B433" t="s">
        <v>13</v>
      </c>
      <c r="C433" t="s">
        <v>2503</v>
      </c>
      <c r="D433" t="s">
        <v>2504</v>
      </c>
      <c r="E433" t="s">
        <v>2505</v>
      </c>
      <c r="F433" t="s">
        <v>16</v>
      </c>
      <c r="G433" s="2">
        <v>44871</v>
      </c>
      <c r="H433">
        <v>2016</v>
      </c>
      <c r="I433" t="s">
        <v>100</v>
      </c>
      <c r="J433" t="s">
        <v>360</v>
      </c>
      <c r="K433" t="s">
        <v>2506</v>
      </c>
      <c r="L433" t="s">
        <v>2507</v>
      </c>
    </row>
    <row r="434" spans="1:12" x14ac:dyDescent="0.3">
      <c r="A434" t="s">
        <v>2509</v>
      </c>
      <c r="B434" t="s">
        <v>22</v>
      </c>
      <c r="C434" t="s">
        <v>2510</v>
      </c>
      <c r="D434" t="s">
        <v>2963</v>
      </c>
      <c r="E434" t="s">
        <v>2511</v>
      </c>
      <c r="F434" t="s">
        <v>16</v>
      </c>
      <c r="G434" s="2">
        <v>44872</v>
      </c>
      <c r="H434">
        <v>2008</v>
      </c>
      <c r="I434" t="s">
        <v>26</v>
      </c>
      <c r="J434" t="s">
        <v>34</v>
      </c>
      <c r="K434" t="s">
        <v>2512</v>
      </c>
      <c r="L434" t="s">
        <v>2513</v>
      </c>
    </row>
    <row r="435" spans="1:12" x14ac:dyDescent="0.3">
      <c r="A435" t="s">
        <v>2514</v>
      </c>
      <c r="B435" t="s">
        <v>22</v>
      </c>
      <c r="C435" t="s">
        <v>2515</v>
      </c>
      <c r="D435" t="s">
        <v>2963</v>
      </c>
      <c r="E435" t="s">
        <v>2963</v>
      </c>
      <c r="F435" t="s">
        <v>16</v>
      </c>
      <c r="G435" s="2">
        <v>44873</v>
      </c>
      <c r="H435">
        <v>2008</v>
      </c>
      <c r="I435" t="s">
        <v>307</v>
      </c>
      <c r="J435" t="s">
        <v>34</v>
      </c>
      <c r="K435" t="s">
        <v>2516</v>
      </c>
      <c r="L435" t="s">
        <v>2517</v>
      </c>
    </row>
    <row r="436" spans="1:12" x14ac:dyDescent="0.3">
      <c r="A436" t="s">
        <v>2518</v>
      </c>
      <c r="B436" t="s">
        <v>13</v>
      </c>
      <c r="C436" t="s">
        <v>2519</v>
      </c>
      <c r="D436" t="s">
        <v>2520</v>
      </c>
      <c r="E436" t="s">
        <v>2521</v>
      </c>
      <c r="F436" t="s">
        <v>16</v>
      </c>
      <c r="G436" s="2">
        <v>44874</v>
      </c>
      <c r="H436">
        <v>2016</v>
      </c>
      <c r="I436" t="s">
        <v>100</v>
      </c>
      <c r="J436" t="s">
        <v>18</v>
      </c>
      <c r="K436" t="s">
        <v>2522</v>
      </c>
      <c r="L436" t="s">
        <v>2523</v>
      </c>
    </row>
    <row r="437" spans="1:12" x14ac:dyDescent="0.3">
      <c r="A437" t="s">
        <v>2525</v>
      </c>
      <c r="B437" t="s">
        <v>13</v>
      </c>
      <c r="C437" t="s">
        <v>2526</v>
      </c>
      <c r="D437" t="s">
        <v>2963</v>
      </c>
      <c r="E437" t="s">
        <v>2527</v>
      </c>
      <c r="F437" t="s">
        <v>16</v>
      </c>
      <c r="G437" s="2">
        <v>44875</v>
      </c>
      <c r="H437">
        <v>2017</v>
      </c>
      <c r="I437" t="s">
        <v>100</v>
      </c>
      <c r="J437" t="s">
        <v>360</v>
      </c>
      <c r="K437" t="s">
        <v>2528</v>
      </c>
      <c r="L437" t="s">
        <v>2529</v>
      </c>
    </row>
    <row r="438" spans="1:12" x14ac:dyDescent="0.3">
      <c r="A438" t="s">
        <v>2531</v>
      </c>
      <c r="B438" t="s">
        <v>13</v>
      </c>
      <c r="C438" t="s">
        <v>2532</v>
      </c>
      <c r="D438" t="s">
        <v>2533</v>
      </c>
      <c r="E438" t="s">
        <v>2534</v>
      </c>
      <c r="F438" t="s">
        <v>16</v>
      </c>
      <c r="G438" s="2">
        <v>44876</v>
      </c>
      <c r="H438">
        <v>2018</v>
      </c>
      <c r="I438" t="s">
        <v>74</v>
      </c>
      <c r="J438" t="s">
        <v>302</v>
      </c>
      <c r="K438" t="s">
        <v>2535</v>
      </c>
      <c r="L438" t="s">
        <v>2536</v>
      </c>
    </row>
    <row r="439" spans="1:12" x14ac:dyDescent="0.3">
      <c r="A439" t="s">
        <v>2537</v>
      </c>
      <c r="B439" t="s">
        <v>13</v>
      </c>
      <c r="C439" t="s">
        <v>2538</v>
      </c>
      <c r="D439" t="s">
        <v>2539</v>
      </c>
      <c r="E439" t="s">
        <v>2540</v>
      </c>
      <c r="F439" t="s">
        <v>16</v>
      </c>
      <c r="G439" s="2">
        <v>44877</v>
      </c>
      <c r="H439">
        <v>2015</v>
      </c>
      <c r="I439" t="s">
        <v>2530</v>
      </c>
      <c r="J439" t="s">
        <v>559</v>
      </c>
      <c r="K439" t="s">
        <v>2541</v>
      </c>
      <c r="L439" t="s">
        <v>2542</v>
      </c>
    </row>
    <row r="440" spans="1:12" x14ac:dyDescent="0.3">
      <c r="A440" t="s">
        <v>2543</v>
      </c>
      <c r="B440" t="s">
        <v>13</v>
      </c>
      <c r="C440" t="s">
        <v>2544</v>
      </c>
      <c r="D440" t="s">
        <v>2545</v>
      </c>
      <c r="E440" t="s">
        <v>2546</v>
      </c>
      <c r="F440" t="s">
        <v>16</v>
      </c>
      <c r="G440" s="2">
        <v>44878</v>
      </c>
      <c r="H440">
        <v>2017</v>
      </c>
      <c r="I440" t="s">
        <v>264</v>
      </c>
      <c r="J440" t="s">
        <v>231</v>
      </c>
      <c r="K440" t="s">
        <v>2547</v>
      </c>
      <c r="L440" t="s">
        <v>2548</v>
      </c>
    </row>
    <row r="441" spans="1:12" x14ac:dyDescent="0.3">
      <c r="A441" t="s">
        <v>2549</v>
      </c>
      <c r="B441" t="s">
        <v>13</v>
      </c>
      <c r="C441" t="s">
        <v>2550</v>
      </c>
      <c r="D441" t="s">
        <v>2551</v>
      </c>
      <c r="E441" t="s">
        <v>2552</v>
      </c>
      <c r="F441" t="s">
        <v>16</v>
      </c>
      <c r="G441" s="2">
        <v>44879</v>
      </c>
      <c r="H441">
        <v>1971</v>
      </c>
      <c r="I441" t="s">
        <v>264</v>
      </c>
      <c r="J441" t="s">
        <v>1202</v>
      </c>
      <c r="K441" t="s">
        <v>2553</v>
      </c>
      <c r="L441" t="s">
        <v>2554</v>
      </c>
    </row>
    <row r="442" spans="1:12" x14ac:dyDescent="0.3">
      <c r="A442" t="s">
        <v>2555</v>
      </c>
      <c r="B442" t="s">
        <v>22</v>
      </c>
      <c r="C442" t="s">
        <v>2556</v>
      </c>
      <c r="D442" t="s">
        <v>2963</v>
      </c>
      <c r="E442" t="s">
        <v>2557</v>
      </c>
      <c r="F442" t="s">
        <v>16</v>
      </c>
      <c r="G442" s="2">
        <v>44880</v>
      </c>
      <c r="H442">
        <v>2013</v>
      </c>
      <c r="I442" t="s">
        <v>26</v>
      </c>
      <c r="J442" t="s">
        <v>27</v>
      </c>
      <c r="K442" t="s">
        <v>2558</v>
      </c>
      <c r="L442" t="s">
        <v>2559</v>
      </c>
    </row>
    <row r="443" spans="1:12" x14ac:dyDescent="0.3">
      <c r="A443" t="s">
        <v>2560</v>
      </c>
      <c r="B443" t="s">
        <v>13</v>
      </c>
      <c r="C443" t="s">
        <v>2561</v>
      </c>
      <c r="D443" t="s">
        <v>2562</v>
      </c>
      <c r="E443" t="s">
        <v>2563</v>
      </c>
      <c r="F443" t="s">
        <v>16</v>
      </c>
      <c r="G443" s="2">
        <v>44881</v>
      </c>
      <c r="H443">
        <v>2018</v>
      </c>
      <c r="I443" t="s">
        <v>57</v>
      </c>
      <c r="J443" t="s">
        <v>289</v>
      </c>
      <c r="K443" t="s">
        <v>2564</v>
      </c>
      <c r="L443" t="s">
        <v>2565</v>
      </c>
    </row>
    <row r="444" spans="1:12" x14ac:dyDescent="0.3">
      <c r="A444" t="s">
        <v>2566</v>
      </c>
      <c r="B444" t="s">
        <v>13</v>
      </c>
      <c r="C444" t="s">
        <v>2567</v>
      </c>
      <c r="D444" t="s">
        <v>2568</v>
      </c>
      <c r="E444" t="s">
        <v>2569</v>
      </c>
      <c r="F444" t="s">
        <v>16</v>
      </c>
      <c r="G444" s="2">
        <v>44882</v>
      </c>
      <c r="H444">
        <v>2014</v>
      </c>
      <c r="I444" t="s">
        <v>74</v>
      </c>
      <c r="J444" t="s">
        <v>58</v>
      </c>
      <c r="K444" t="s">
        <v>2570</v>
      </c>
      <c r="L444" t="s">
        <v>2571</v>
      </c>
    </row>
    <row r="445" spans="1:12" x14ac:dyDescent="0.3">
      <c r="A445" t="s">
        <v>2572</v>
      </c>
      <c r="B445" t="s">
        <v>13</v>
      </c>
      <c r="C445" t="s">
        <v>2573</v>
      </c>
      <c r="D445" t="s">
        <v>2574</v>
      </c>
      <c r="E445" t="s">
        <v>2575</v>
      </c>
      <c r="F445" t="s">
        <v>16</v>
      </c>
      <c r="G445" s="2">
        <v>44883</v>
      </c>
      <c r="H445">
        <v>2016</v>
      </c>
      <c r="I445" t="s">
        <v>307</v>
      </c>
      <c r="J445" t="s">
        <v>380</v>
      </c>
      <c r="K445" t="s">
        <v>2576</v>
      </c>
      <c r="L445" t="s">
        <v>2577</v>
      </c>
    </row>
    <row r="446" spans="1:12" x14ac:dyDescent="0.3">
      <c r="A446" t="s">
        <v>2578</v>
      </c>
      <c r="B446" t="s">
        <v>13</v>
      </c>
      <c r="C446" t="s">
        <v>2579</v>
      </c>
      <c r="D446" t="s">
        <v>1147</v>
      </c>
      <c r="E446" t="s">
        <v>2580</v>
      </c>
      <c r="F446" t="s">
        <v>16</v>
      </c>
      <c r="G446" s="2">
        <v>44884</v>
      </c>
      <c r="H446">
        <v>2000</v>
      </c>
      <c r="I446" t="s">
        <v>264</v>
      </c>
      <c r="J446" t="s">
        <v>300</v>
      </c>
      <c r="K446" t="s">
        <v>2581</v>
      </c>
      <c r="L446" t="s">
        <v>2582</v>
      </c>
    </row>
    <row r="447" spans="1:12" x14ac:dyDescent="0.3">
      <c r="A447" t="s">
        <v>2583</v>
      </c>
      <c r="B447" t="s">
        <v>22</v>
      </c>
      <c r="C447" t="s">
        <v>2584</v>
      </c>
      <c r="D447" t="s">
        <v>2963</v>
      </c>
      <c r="E447" t="s">
        <v>2963</v>
      </c>
      <c r="F447" t="s">
        <v>16</v>
      </c>
      <c r="G447" s="2">
        <v>44885</v>
      </c>
      <c r="H447">
        <v>2018</v>
      </c>
      <c r="I447" t="s">
        <v>74</v>
      </c>
      <c r="J447" t="s">
        <v>34</v>
      </c>
      <c r="K447" t="s">
        <v>2585</v>
      </c>
      <c r="L447" t="s">
        <v>2586</v>
      </c>
    </row>
    <row r="448" spans="1:12" x14ac:dyDescent="0.3">
      <c r="A448" t="s">
        <v>2587</v>
      </c>
      <c r="B448" t="s">
        <v>13</v>
      </c>
      <c r="C448" t="s">
        <v>2588</v>
      </c>
      <c r="D448" t="s">
        <v>1892</v>
      </c>
      <c r="E448" t="s">
        <v>2589</v>
      </c>
      <c r="F448" t="s">
        <v>16</v>
      </c>
      <c r="G448" s="2">
        <v>44886</v>
      </c>
      <c r="H448">
        <v>1992</v>
      </c>
      <c r="I448" t="s">
        <v>264</v>
      </c>
      <c r="J448" t="s">
        <v>409</v>
      </c>
      <c r="K448" t="s">
        <v>2590</v>
      </c>
      <c r="L448" t="s">
        <v>2591</v>
      </c>
    </row>
    <row r="449" spans="1:12" x14ac:dyDescent="0.3">
      <c r="A449" t="s">
        <v>2592</v>
      </c>
      <c r="B449" t="s">
        <v>22</v>
      </c>
      <c r="C449" t="s">
        <v>2593</v>
      </c>
      <c r="D449" t="s">
        <v>2963</v>
      </c>
      <c r="E449" t="s">
        <v>2594</v>
      </c>
      <c r="F449" t="s">
        <v>16</v>
      </c>
      <c r="G449" s="2">
        <v>44887</v>
      </c>
      <c r="H449">
        <v>2017</v>
      </c>
      <c r="I449" t="s">
        <v>26</v>
      </c>
      <c r="J449" t="s">
        <v>139</v>
      </c>
      <c r="K449" t="s">
        <v>2595</v>
      </c>
      <c r="L449" t="s">
        <v>2596</v>
      </c>
    </row>
    <row r="450" spans="1:12" x14ac:dyDescent="0.3">
      <c r="A450" t="s">
        <v>2597</v>
      </c>
      <c r="B450" t="s">
        <v>22</v>
      </c>
      <c r="C450" t="s">
        <v>2598</v>
      </c>
      <c r="D450" t="s">
        <v>2963</v>
      </c>
      <c r="E450" t="s">
        <v>2963</v>
      </c>
      <c r="F450" t="s">
        <v>16</v>
      </c>
      <c r="G450" s="2">
        <v>44888</v>
      </c>
      <c r="H450">
        <v>2016</v>
      </c>
      <c r="I450" t="s">
        <v>100</v>
      </c>
      <c r="J450" t="s">
        <v>34</v>
      </c>
      <c r="K450" t="s">
        <v>2599</v>
      </c>
      <c r="L450" t="s">
        <v>2600</v>
      </c>
    </row>
    <row r="451" spans="1:12" x14ac:dyDescent="0.3">
      <c r="A451" t="s">
        <v>2602</v>
      </c>
      <c r="B451" t="s">
        <v>13</v>
      </c>
      <c r="C451" t="s">
        <v>2603</v>
      </c>
      <c r="D451" t="s">
        <v>2604</v>
      </c>
      <c r="E451" t="s">
        <v>2605</v>
      </c>
      <c r="F451" t="s">
        <v>16</v>
      </c>
      <c r="G451" s="2">
        <v>44889</v>
      </c>
      <c r="H451">
        <v>2017</v>
      </c>
      <c r="I451" t="s">
        <v>26</v>
      </c>
      <c r="J451" t="s">
        <v>293</v>
      </c>
      <c r="K451" t="s">
        <v>2606</v>
      </c>
      <c r="L451" t="s">
        <v>2607</v>
      </c>
    </row>
    <row r="452" spans="1:12" x14ac:dyDescent="0.3">
      <c r="A452" t="s">
        <v>2608</v>
      </c>
      <c r="B452" t="s">
        <v>13</v>
      </c>
      <c r="C452" t="s">
        <v>2609</v>
      </c>
      <c r="D452" t="s">
        <v>2610</v>
      </c>
      <c r="E452" t="s">
        <v>2611</v>
      </c>
      <c r="F452" t="s">
        <v>16</v>
      </c>
      <c r="G452" s="2">
        <v>44890</v>
      </c>
      <c r="H452">
        <v>1960</v>
      </c>
      <c r="I452" t="s">
        <v>74</v>
      </c>
      <c r="J452" t="s">
        <v>464</v>
      </c>
      <c r="K452" t="s">
        <v>2612</v>
      </c>
      <c r="L452" t="s">
        <v>2613</v>
      </c>
    </row>
    <row r="453" spans="1:12" x14ac:dyDescent="0.3">
      <c r="A453" t="s">
        <v>2614</v>
      </c>
      <c r="B453" t="s">
        <v>22</v>
      </c>
      <c r="C453" t="s">
        <v>2615</v>
      </c>
      <c r="D453" t="s">
        <v>2616</v>
      </c>
      <c r="E453" t="s">
        <v>2617</v>
      </c>
      <c r="F453" t="s">
        <v>16</v>
      </c>
      <c r="G453" s="2">
        <v>44891</v>
      </c>
      <c r="H453">
        <v>2014</v>
      </c>
      <c r="I453" t="s">
        <v>74</v>
      </c>
      <c r="J453" t="s">
        <v>34</v>
      </c>
      <c r="K453" t="s">
        <v>2618</v>
      </c>
      <c r="L453" t="s">
        <v>2619</v>
      </c>
    </row>
    <row r="454" spans="1:12" x14ac:dyDescent="0.3">
      <c r="A454" t="s">
        <v>2620</v>
      </c>
      <c r="B454" t="s">
        <v>13</v>
      </c>
      <c r="C454" t="s">
        <v>2621</v>
      </c>
      <c r="D454" t="s">
        <v>2622</v>
      </c>
      <c r="E454" t="s">
        <v>2623</v>
      </c>
      <c r="F454" t="s">
        <v>16</v>
      </c>
      <c r="G454" s="2">
        <v>44892</v>
      </c>
      <c r="H454">
        <v>1976</v>
      </c>
      <c r="I454" t="s">
        <v>264</v>
      </c>
      <c r="J454" t="s">
        <v>257</v>
      </c>
      <c r="K454" t="s">
        <v>2624</v>
      </c>
      <c r="L454" t="s">
        <v>2625</v>
      </c>
    </row>
    <row r="455" spans="1:12" x14ac:dyDescent="0.3">
      <c r="A455" t="s">
        <v>2626</v>
      </c>
      <c r="B455" t="s">
        <v>22</v>
      </c>
      <c r="C455" t="s">
        <v>2627</v>
      </c>
      <c r="D455" t="s">
        <v>2963</v>
      </c>
      <c r="E455" t="s">
        <v>2628</v>
      </c>
      <c r="F455" t="s">
        <v>16</v>
      </c>
      <c r="G455" s="2">
        <v>44893</v>
      </c>
      <c r="H455">
        <v>2015</v>
      </c>
      <c r="I455" t="s">
        <v>74</v>
      </c>
      <c r="J455" t="s">
        <v>34</v>
      </c>
      <c r="K455" t="s">
        <v>2629</v>
      </c>
      <c r="L455" t="s">
        <v>2630</v>
      </c>
    </row>
    <row r="456" spans="1:12" x14ac:dyDescent="0.3">
      <c r="A456" t="s">
        <v>2631</v>
      </c>
      <c r="B456" t="s">
        <v>13</v>
      </c>
      <c r="C456" t="s">
        <v>2632</v>
      </c>
      <c r="D456" t="s">
        <v>2633</v>
      </c>
      <c r="E456" t="s">
        <v>2634</v>
      </c>
      <c r="F456" t="s">
        <v>16</v>
      </c>
      <c r="G456" s="2">
        <v>44894</v>
      </c>
      <c r="H456">
        <v>1973</v>
      </c>
      <c r="I456" t="s">
        <v>414</v>
      </c>
      <c r="J456" t="s">
        <v>128</v>
      </c>
      <c r="K456" t="s">
        <v>2635</v>
      </c>
      <c r="L456" t="s">
        <v>2636</v>
      </c>
    </row>
    <row r="457" spans="1:12" x14ac:dyDescent="0.3">
      <c r="A457" t="s">
        <v>2637</v>
      </c>
      <c r="B457" t="s">
        <v>13</v>
      </c>
      <c r="C457" t="s">
        <v>2638</v>
      </c>
      <c r="D457" t="s">
        <v>2601</v>
      </c>
      <c r="E457" t="s">
        <v>2639</v>
      </c>
      <c r="F457" t="s">
        <v>16</v>
      </c>
      <c r="G457" s="2">
        <v>44895</v>
      </c>
      <c r="H457">
        <v>1975</v>
      </c>
      <c r="I457" t="s">
        <v>100</v>
      </c>
      <c r="J457" t="s">
        <v>93</v>
      </c>
      <c r="K457" t="s">
        <v>2640</v>
      </c>
      <c r="L457" t="s">
        <v>2641</v>
      </c>
    </row>
    <row r="458" spans="1:12" x14ac:dyDescent="0.3">
      <c r="A458" t="s">
        <v>2642</v>
      </c>
      <c r="B458" t="s">
        <v>13</v>
      </c>
      <c r="C458" t="s">
        <v>2643</v>
      </c>
      <c r="D458" t="s">
        <v>2524</v>
      </c>
      <c r="E458" t="s">
        <v>2644</v>
      </c>
      <c r="F458" t="s">
        <v>16</v>
      </c>
      <c r="G458" s="2">
        <v>44896</v>
      </c>
      <c r="H458">
        <v>2006</v>
      </c>
      <c r="I458" t="s">
        <v>17</v>
      </c>
      <c r="J458" t="s">
        <v>464</v>
      </c>
      <c r="K458" t="s">
        <v>2645</v>
      </c>
      <c r="L458" t="s">
        <v>2646</v>
      </c>
    </row>
    <row r="459" spans="1:12" x14ac:dyDescent="0.3">
      <c r="A459" t="s">
        <v>2647</v>
      </c>
      <c r="B459" t="s">
        <v>13</v>
      </c>
      <c r="C459" t="s">
        <v>2648</v>
      </c>
      <c r="D459" t="s">
        <v>2649</v>
      </c>
      <c r="E459" t="s">
        <v>2650</v>
      </c>
      <c r="F459" t="s">
        <v>16</v>
      </c>
      <c r="G459" s="2">
        <v>44897</v>
      </c>
      <c r="H459">
        <v>2012</v>
      </c>
      <c r="I459" t="s">
        <v>264</v>
      </c>
      <c r="J459" t="s">
        <v>2059</v>
      </c>
      <c r="K459" t="s">
        <v>2651</v>
      </c>
      <c r="L459" t="s">
        <v>2652</v>
      </c>
    </row>
    <row r="460" spans="1:12" x14ac:dyDescent="0.3">
      <c r="A460" t="s">
        <v>2653</v>
      </c>
      <c r="B460" t="s">
        <v>13</v>
      </c>
      <c r="C460" t="s">
        <v>2654</v>
      </c>
      <c r="D460" t="s">
        <v>2655</v>
      </c>
      <c r="E460" t="s">
        <v>2656</v>
      </c>
      <c r="F460" t="s">
        <v>16</v>
      </c>
      <c r="G460" s="2">
        <v>44898</v>
      </c>
      <c r="H460">
        <v>2016</v>
      </c>
      <c r="I460" t="s">
        <v>307</v>
      </c>
      <c r="J460" t="s">
        <v>1409</v>
      </c>
      <c r="K460" t="s">
        <v>2657</v>
      </c>
      <c r="L460" t="s">
        <v>2658</v>
      </c>
    </row>
    <row r="461" spans="1:12" x14ac:dyDescent="0.3">
      <c r="A461" t="s">
        <v>2659</v>
      </c>
      <c r="B461" t="s">
        <v>22</v>
      </c>
      <c r="C461" t="s">
        <v>2660</v>
      </c>
      <c r="D461" t="s">
        <v>2963</v>
      </c>
      <c r="E461" t="s">
        <v>2661</v>
      </c>
      <c r="F461" t="s">
        <v>16</v>
      </c>
      <c r="G461" s="2">
        <v>44899</v>
      </c>
      <c r="H461">
        <v>1977</v>
      </c>
      <c r="I461" t="s">
        <v>100</v>
      </c>
      <c r="J461" t="s">
        <v>927</v>
      </c>
      <c r="K461" t="s">
        <v>2662</v>
      </c>
      <c r="L461" t="s">
        <v>2663</v>
      </c>
    </row>
    <row r="462" spans="1:12" x14ac:dyDescent="0.3">
      <c r="A462" t="s">
        <v>2665</v>
      </c>
      <c r="B462" t="s">
        <v>13</v>
      </c>
      <c r="C462" t="s">
        <v>2666</v>
      </c>
      <c r="D462" t="s">
        <v>2667</v>
      </c>
      <c r="E462" t="s">
        <v>2668</v>
      </c>
      <c r="F462" t="s">
        <v>16</v>
      </c>
      <c r="G462" s="2">
        <v>44900</v>
      </c>
      <c r="H462">
        <v>2017</v>
      </c>
      <c r="I462" t="s">
        <v>26</v>
      </c>
      <c r="J462" t="s">
        <v>1628</v>
      </c>
      <c r="K462" t="s">
        <v>2669</v>
      </c>
      <c r="L462" t="s">
        <v>2670</v>
      </c>
    </row>
    <row r="463" spans="1:12" x14ac:dyDescent="0.3">
      <c r="A463" t="s">
        <v>2671</v>
      </c>
      <c r="B463" t="s">
        <v>22</v>
      </c>
      <c r="C463" t="s">
        <v>2672</v>
      </c>
      <c r="D463" t="s">
        <v>2963</v>
      </c>
      <c r="E463" t="s">
        <v>2673</v>
      </c>
      <c r="F463" t="s">
        <v>16</v>
      </c>
      <c r="G463" s="2">
        <v>44901</v>
      </c>
      <c r="H463">
        <v>2017</v>
      </c>
      <c r="I463" t="s">
        <v>100</v>
      </c>
      <c r="J463" t="s">
        <v>34</v>
      </c>
      <c r="K463" t="s">
        <v>2674</v>
      </c>
      <c r="L463" t="s">
        <v>2675</v>
      </c>
    </row>
    <row r="464" spans="1:12" x14ac:dyDescent="0.3">
      <c r="A464" t="s">
        <v>2676</v>
      </c>
      <c r="B464" t="s">
        <v>22</v>
      </c>
      <c r="C464" t="s">
        <v>2677</v>
      </c>
      <c r="D464" t="s">
        <v>2963</v>
      </c>
      <c r="E464" t="s">
        <v>2678</v>
      </c>
      <c r="F464" t="s">
        <v>16</v>
      </c>
      <c r="G464" s="2">
        <v>44902</v>
      </c>
      <c r="H464">
        <v>1979</v>
      </c>
      <c r="I464" t="s">
        <v>100</v>
      </c>
      <c r="J464" t="s">
        <v>34</v>
      </c>
      <c r="K464" t="s">
        <v>2679</v>
      </c>
      <c r="L464" t="s">
        <v>2680</v>
      </c>
    </row>
    <row r="465" spans="1:12" x14ac:dyDescent="0.3">
      <c r="A465" t="s">
        <v>2681</v>
      </c>
      <c r="B465" t="s">
        <v>22</v>
      </c>
      <c r="C465" t="s">
        <v>2682</v>
      </c>
      <c r="D465" t="s">
        <v>2963</v>
      </c>
      <c r="E465" t="s">
        <v>2683</v>
      </c>
      <c r="F465" t="s">
        <v>16</v>
      </c>
      <c r="G465" s="2">
        <v>44903</v>
      </c>
      <c r="H465">
        <v>2010</v>
      </c>
      <c r="I465" t="s">
        <v>74</v>
      </c>
      <c r="J465" t="s">
        <v>34</v>
      </c>
      <c r="K465" t="s">
        <v>2684</v>
      </c>
      <c r="L465" t="s">
        <v>2685</v>
      </c>
    </row>
    <row r="466" spans="1:12" x14ac:dyDescent="0.3">
      <c r="A466" t="s">
        <v>2686</v>
      </c>
      <c r="B466" t="s">
        <v>13</v>
      </c>
      <c r="C466" t="s">
        <v>2687</v>
      </c>
      <c r="D466" t="s">
        <v>594</v>
      </c>
      <c r="E466" t="s">
        <v>2688</v>
      </c>
      <c r="F466" t="s">
        <v>16</v>
      </c>
      <c r="G466" s="2">
        <v>44904</v>
      </c>
      <c r="H466">
        <v>2007</v>
      </c>
      <c r="I466" t="s">
        <v>57</v>
      </c>
      <c r="J466" t="s">
        <v>231</v>
      </c>
      <c r="K466" t="s">
        <v>2689</v>
      </c>
      <c r="L466" t="s">
        <v>2690</v>
      </c>
    </row>
    <row r="467" spans="1:12" x14ac:dyDescent="0.3">
      <c r="A467" t="s">
        <v>2691</v>
      </c>
      <c r="B467" t="s">
        <v>22</v>
      </c>
      <c r="C467" t="s">
        <v>2692</v>
      </c>
      <c r="D467" t="s">
        <v>2693</v>
      </c>
      <c r="E467" t="s">
        <v>2694</v>
      </c>
      <c r="F467" t="s">
        <v>16</v>
      </c>
      <c r="G467" s="2">
        <v>44905</v>
      </c>
      <c r="H467">
        <v>2017</v>
      </c>
      <c r="I467" t="s">
        <v>74</v>
      </c>
      <c r="J467" t="s">
        <v>297</v>
      </c>
      <c r="K467" t="s">
        <v>2695</v>
      </c>
      <c r="L467" t="s">
        <v>2696</v>
      </c>
    </row>
    <row r="468" spans="1:12" x14ac:dyDescent="0.3">
      <c r="A468" t="s">
        <v>2697</v>
      </c>
      <c r="B468" t="s">
        <v>13</v>
      </c>
      <c r="C468" t="s">
        <v>2698</v>
      </c>
      <c r="D468" t="s">
        <v>2699</v>
      </c>
      <c r="E468" t="s">
        <v>2700</v>
      </c>
      <c r="F468" t="s">
        <v>16</v>
      </c>
      <c r="G468" s="2">
        <v>44906</v>
      </c>
      <c r="H468">
        <v>1971</v>
      </c>
      <c r="I468" t="s">
        <v>414</v>
      </c>
      <c r="J468" t="s">
        <v>1460</v>
      </c>
      <c r="K468" t="s">
        <v>2701</v>
      </c>
      <c r="L468" t="s">
        <v>2702</v>
      </c>
    </row>
    <row r="469" spans="1:12" x14ac:dyDescent="0.3">
      <c r="A469" t="s">
        <v>2703</v>
      </c>
      <c r="B469" t="s">
        <v>13</v>
      </c>
      <c r="C469" t="s">
        <v>2704</v>
      </c>
      <c r="D469" t="s">
        <v>2705</v>
      </c>
      <c r="E469" t="s">
        <v>2706</v>
      </c>
      <c r="F469" t="s">
        <v>16</v>
      </c>
      <c r="G469" s="2">
        <v>44907</v>
      </c>
      <c r="H469">
        <v>2000</v>
      </c>
      <c r="I469" t="s">
        <v>264</v>
      </c>
      <c r="J469" t="s">
        <v>257</v>
      </c>
      <c r="K469" t="s">
        <v>2707</v>
      </c>
      <c r="L469" t="s">
        <v>2708</v>
      </c>
    </row>
    <row r="470" spans="1:12" x14ac:dyDescent="0.3">
      <c r="A470" t="s">
        <v>2709</v>
      </c>
      <c r="B470" t="s">
        <v>13</v>
      </c>
      <c r="C470" t="s">
        <v>2710</v>
      </c>
      <c r="D470" t="s">
        <v>2711</v>
      </c>
      <c r="E470" t="s">
        <v>2712</v>
      </c>
      <c r="F470" t="s">
        <v>16</v>
      </c>
      <c r="G470" s="2">
        <v>44908</v>
      </c>
      <c r="H470">
        <v>1956</v>
      </c>
      <c r="I470" t="s">
        <v>414</v>
      </c>
      <c r="J470" t="s">
        <v>257</v>
      </c>
      <c r="K470" t="s">
        <v>2713</v>
      </c>
      <c r="L470" t="s">
        <v>2714</v>
      </c>
    </row>
    <row r="471" spans="1:12" x14ac:dyDescent="0.3">
      <c r="A471" t="s">
        <v>2715</v>
      </c>
      <c r="B471" t="s">
        <v>22</v>
      </c>
      <c r="C471" t="s">
        <v>2716</v>
      </c>
      <c r="D471" t="s">
        <v>2963</v>
      </c>
      <c r="E471" t="s">
        <v>2717</v>
      </c>
      <c r="F471" t="s">
        <v>16</v>
      </c>
      <c r="G471" s="2">
        <v>44909</v>
      </c>
      <c r="H471">
        <v>2016</v>
      </c>
      <c r="I471" t="s">
        <v>100</v>
      </c>
      <c r="J471" t="s">
        <v>27</v>
      </c>
      <c r="K471" t="s">
        <v>2718</v>
      </c>
      <c r="L471" t="s">
        <v>2719</v>
      </c>
    </row>
    <row r="472" spans="1:12" x14ac:dyDescent="0.3">
      <c r="A472" t="s">
        <v>2720</v>
      </c>
      <c r="B472" t="s">
        <v>13</v>
      </c>
      <c r="C472" t="s">
        <v>2721</v>
      </c>
      <c r="D472" t="s">
        <v>2722</v>
      </c>
      <c r="E472" t="s">
        <v>2723</v>
      </c>
      <c r="F472" t="s">
        <v>16</v>
      </c>
      <c r="G472" s="2">
        <v>44910</v>
      </c>
      <c r="H472">
        <v>1958</v>
      </c>
      <c r="I472" t="s">
        <v>414</v>
      </c>
      <c r="J472" t="s">
        <v>265</v>
      </c>
      <c r="K472" t="s">
        <v>2724</v>
      </c>
      <c r="L472" t="s">
        <v>2725</v>
      </c>
    </row>
    <row r="473" spans="1:12" x14ac:dyDescent="0.3">
      <c r="A473" t="s">
        <v>2726</v>
      </c>
      <c r="B473" t="s">
        <v>13</v>
      </c>
      <c r="C473" t="s">
        <v>2727</v>
      </c>
      <c r="D473" t="s">
        <v>2728</v>
      </c>
      <c r="E473" t="s">
        <v>2729</v>
      </c>
      <c r="F473" t="s">
        <v>16</v>
      </c>
      <c r="G473" s="2">
        <v>44911</v>
      </c>
      <c r="H473">
        <v>2018</v>
      </c>
      <c r="I473" t="s">
        <v>264</v>
      </c>
      <c r="J473" t="s">
        <v>293</v>
      </c>
      <c r="K473" t="s">
        <v>2730</v>
      </c>
      <c r="L473" t="s">
        <v>2731</v>
      </c>
    </row>
    <row r="474" spans="1:12" x14ac:dyDescent="0.3">
      <c r="A474" t="s">
        <v>2732</v>
      </c>
      <c r="B474" t="s">
        <v>13</v>
      </c>
      <c r="C474" t="s">
        <v>2733</v>
      </c>
      <c r="D474" t="s">
        <v>2734</v>
      </c>
      <c r="E474" t="s">
        <v>2963</v>
      </c>
      <c r="F474" t="s">
        <v>16</v>
      </c>
      <c r="G474" s="2">
        <v>44912</v>
      </c>
      <c r="H474">
        <v>2017</v>
      </c>
      <c r="I474" t="s">
        <v>26</v>
      </c>
      <c r="J474" t="s">
        <v>573</v>
      </c>
      <c r="K474" t="s">
        <v>2735</v>
      </c>
      <c r="L474" t="s">
        <v>2736</v>
      </c>
    </row>
    <row r="475" spans="1:12" x14ac:dyDescent="0.3">
      <c r="A475" t="s">
        <v>2737</v>
      </c>
      <c r="B475" t="s">
        <v>22</v>
      </c>
      <c r="C475" t="s">
        <v>2738</v>
      </c>
      <c r="D475" t="s">
        <v>2963</v>
      </c>
      <c r="E475" t="s">
        <v>2739</v>
      </c>
      <c r="F475" t="s">
        <v>16</v>
      </c>
      <c r="G475" s="2">
        <v>44913</v>
      </c>
      <c r="H475">
        <v>2015</v>
      </c>
      <c r="I475" t="s">
        <v>74</v>
      </c>
      <c r="J475" t="s">
        <v>139</v>
      </c>
      <c r="K475" t="s">
        <v>2740</v>
      </c>
      <c r="L475" t="s">
        <v>2741</v>
      </c>
    </row>
    <row r="476" spans="1:12" x14ac:dyDescent="0.3">
      <c r="A476" t="s">
        <v>2742</v>
      </c>
      <c r="B476" t="s">
        <v>13</v>
      </c>
      <c r="C476" t="s">
        <v>2743</v>
      </c>
      <c r="D476" t="s">
        <v>2744</v>
      </c>
      <c r="E476" t="s">
        <v>2745</v>
      </c>
      <c r="F476" t="s">
        <v>16</v>
      </c>
      <c r="G476" s="2">
        <v>44914</v>
      </c>
      <c r="H476">
        <v>2008</v>
      </c>
      <c r="I476" t="s">
        <v>74</v>
      </c>
      <c r="J476" t="s">
        <v>380</v>
      </c>
      <c r="K476" t="s">
        <v>2746</v>
      </c>
      <c r="L476" t="s">
        <v>2747</v>
      </c>
    </row>
    <row r="477" spans="1:12" x14ac:dyDescent="0.3">
      <c r="A477" t="s">
        <v>2748</v>
      </c>
      <c r="B477" t="s">
        <v>13</v>
      </c>
      <c r="C477" t="s">
        <v>2749</v>
      </c>
      <c r="D477" t="s">
        <v>1360</v>
      </c>
      <c r="E477" t="s">
        <v>2750</v>
      </c>
      <c r="F477" t="s">
        <v>16</v>
      </c>
      <c r="G477" s="2">
        <v>44915</v>
      </c>
      <c r="H477">
        <v>2013</v>
      </c>
      <c r="I477" t="s">
        <v>264</v>
      </c>
      <c r="J477" t="s">
        <v>501</v>
      </c>
      <c r="K477" t="s">
        <v>2751</v>
      </c>
      <c r="L477" t="s">
        <v>2752</v>
      </c>
    </row>
    <row r="478" spans="1:12" x14ac:dyDescent="0.3">
      <c r="A478" t="s">
        <v>2753</v>
      </c>
      <c r="B478" t="s">
        <v>22</v>
      </c>
      <c r="C478" t="s">
        <v>2754</v>
      </c>
      <c r="D478" t="s">
        <v>2755</v>
      </c>
      <c r="E478" t="s">
        <v>2756</v>
      </c>
      <c r="F478" t="s">
        <v>16</v>
      </c>
      <c r="G478" s="2">
        <v>44916</v>
      </c>
      <c r="H478">
        <v>2015</v>
      </c>
      <c r="I478" t="s">
        <v>74</v>
      </c>
      <c r="J478" t="s">
        <v>34</v>
      </c>
      <c r="K478" t="s">
        <v>2757</v>
      </c>
      <c r="L478" t="s">
        <v>2758</v>
      </c>
    </row>
    <row r="479" spans="1:12" x14ac:dyDescent="0.3">
      <c r="A479" t="s">
        <v>2759</v>
      </c>
      <c r="B479" t="s">
        <v>13</v>
      </c>
      <c r="C479" t="s">
        <v>2760</v>
      </c>
      <c r="D479" t="s">
        <v>1736</v>
      </c>
      <c r="E479" t="s">
        <v>2761</v>
      </c>
      <c r="F479" t="s">
        <v>16</v>
      </c>
      <c r="G479" s="2">
        <v>44917</v>
      </c>
      <c r="H479">
        <v>1988</v>
      </c>
      <c r="I479" t="s">
        <v>17</v>
      </c>
      <c r="J479" t="s">
        <v>559</v>
      </c>
      <c r="K479" t="s">
        <v>2762</v>
      </c>
      <c r="L479" t="s">
        <v>2763</v>
      </c>
    </row>
    <row r="480" spans="1:12" x14ac:dyDescent="0.3">
      <c r="A480" t="s">
        <v>2764</v>
      </c>
      <c r="B480" t="s">
        <v>13</v>
      </c>
      <c r="C480" t="s">
        <v>2765</v>
      </c>
      <c r="D480" t="s">
        <v>2766</v>
      </c>
      <c r="E480" t="s">
        <v>2767</v>
      </c>
      <c r="F480" t="s">
        <v>16</v>
      </c>
      <c r="G480" s="2">
        <v>44918</v>
      </c>
      <c r="H480">
        <v>1996</v>
      </c>
      <c r="I480" t="s">
        <v>17</v>
      </c>
      <c r="J480" t="s">
        <v>455</v>
      </c>
      <c r="K480" t="s">
        <v>2768</v>
      </c>
      <c r="L480" t="s">
        <v>2769</v>
      </c>
    </row>
    <row r="481" spans="1:12" x14ac:dyDescent="0.3">
      <c r="A481" t="s">
        <v>2770</v>
      </c>
      <c r="B481" t="s">
        <v>13</v>
      </c>
      <c r="C481" t="s">
        <v>2771</v>
      </c>
      <c r="D481" t="s">
        <v>2772</v>
      </c>
      <c r="E481" t="s">
        <v>2773</v>
      </c>
      <c r="F481" t="s">
        <v>16</v>
      </c>
      <c r="G481" s="2">
        <v>44919</v>
      </c>
      <c r="H481">
        <v>1945</v>
      </c>
      <c r="I481" t="s">
        <v>74</v>
      </c>
      <c r="J481" t="s">
        <v>469</v>
      </c>
      <c r="K481" t="s">
        <v>2774</v>
      </c>
      <c r="L481" t="s">
        <v>2775</v>
      </c>
    </row>
    <row r="482" spans="1:12" x14ac:dyDescent="0.3">
      <c r="A482" t="s">
        <v>2776</v>
      </c>
      <c r="B482" t="s">
        <v>13</v>
      </c>
      <c r="C482" t="s">
        <v>2777</v>
      </c>
      <c r="D482" t="s">
        <v>2778</v>
      </c>
      <c r="E482" t="s">
        <v>2779</v>
      </c>
      <c r="F482" t="s">
        <v>16</v>
      </c>
      <c r="G482" s="2">
        <v>44920</v>
      </c>
      <c r="H482">
        <v>2014</v>
      </c>
      <c r="I482" t="s">
        <v>17</v>
      </c>
      <c r="J482" t="s">
        <v>212</v>
      </c>
      <c r="K482" t="s">
        <v>2780</v>
      </c>
      <c r="L482" t="s">
        <v>2781</v>
      </c>
    </row>
    <row r="483" spans="1:12" x14ac:dyDescent="0.3">
      <c r="A483" t="s">
        <v>2782</v>
      </c>
      <c r="B483" t="s">
        <v>13</v>
      </c>
      <c r="C483" t="s">
        <v>2783</v>
      </c>
      <c r="D483" t="s">
        <v>2963</v>
      </c>
      <c r="E483" t="s">
        <v>2963</v>
      </c>
      <c r="F483" t="s">
        <v>16</v>
      </c>
      <c r="G483" s="2">
        <v>44921</v>
      </c>
      <c r="H483">
        <v>2016</v>
      </c>
      <c r="I483" t="s">
        <v>2664</v>
      </c>
      <c r="J483" t="s">
        <v>1808</v>
      </c>
      <c r="K483" t="s">
        <v>2784</v>
      </c>
      <c r="L483" t="s">
        <v>2785</v>
      </c>
    </row>
    <row r="484" spans="1:12" x14ac:dyDescent="0.3">
      <c r="A484" t="s">
        <v>2786</v>
      </c>
      <c r="B484" t="s">
        <v>22</v>
      </c>
      <c r="C484" t="s">
        <v>2787</v>
      </c>
      <c r="D484" t="s">
        <v>2963</v>
      </c>
      <c r="E484" t="s">
        <v>2788</v>
      </c>
      <c r="F484" t="s">
        <v>16</v>
      </c>
      <c r="G484" s="2">
        <v>44922</v>
      </c>
      <c r="H484">
        <v>2018</v>
      </c>
      <c r="I484" t="s">
        <v>100</v>
      </c>
      <c r="J484" t="s">
        <v>34</v>
      </c>
      <c r="K484" t="s">
        <v>2789</v>
      </c>
      <c r="L484" t="s">
        <v>2790</v>
      </c>
    </row>
    <row r="485" spans="1:12" x14ac:dyDescent="0.3">
      <c r="A485" t="s">
        <v>2791</v>
      </c>
      <c r="B485" t="s">
        <v>22</v>
      </c>
      <c r="C485" t="s">
        <v>2792</v>
      </c>
      <c r="D485" t="s">
        <v>2793</v>
      </c>
      <c r="E485" t="s">
        <v>2794</v>
      </c>
      <c r="F485" t="s">
        <v>16</v>
      </c>
      <c r="G485" s="2">
        <v>44923</v>
      </c>
      <c r="H485">
        <v>2018</v>
      </c>
      <c r="I485" t="s">
        <v>100</v>
      </c>
      <c r="J485" t="s">
        <v>27</v>
      </c>
      <c r="K485" t="s">
        <v>2795</v>
      </c>
      <c r="L485" t="s">
        <v>2796</v>
      </c>
    </row>
    <row r="486" spans="1:12" x14ac:dyDescent="0.3">
      <c r="A486" t="s">
        <v>2797</v>
      </c>
      <c r="B486" t="s">
        <v>13</v>
      </c>
      <c r="C486" t="s">
        <v>2798</v>
      </c>
      <c r="D486" t="s">
        <v>2799</v>
      </c>
      <c r="E486" t="s">
        <v>2800</v>
      </c>
      <c r="F486" t="s">
        <v>16</v>
      </c>
      <c r="G486" s="2">
        <v>44924</v>
      </c>
      <c r="H486">
        <v>2015</v>
      </c>
      <c r="I486" t="s">
        <v>17</v>
      </c>
      <c r="J486" t="s">
        <v>18</v>
      </c>
      <c r="K486" t="s">
        <v>2801</v>
      </c>
      <c r="L486" t="s">
        <v>2802</v>
      </c>
    </row>
    <row r="487" spans="1:12" x14ac:dyDescent="0.3">
      <c r="A487" t="s">
        <v>2803</v>
      </c>
      <c r="B487" t="s">
        <v>13</v>
      </c>
      <c r="C487" t="s">
        <v>2804</v>
      </c>
      <c r="D487" t="s">
        <v>2805</v>
      </c>
      <c r="E487" t="s">
        <v>2806</v>
      </c>
      <c r="F487" t="s">
        <v>16</v>
      </c>
      <c r="G487" s="2">
        <v>44925</v>
      </c>
      <c r="H487">
        <v>2017</v>
      </c>
      <c r="I487" t="s">
        <v>26</v>
      </c>
      <c r="J487" t="s">
        <v>380</v>
      </c>
      <c r="K487" t="s">
        <v>2807</v>
      </c>
      <c r="L487" t="s">
        <v>2808</v>
      </c>
    </row>
    <row r="488" spans="1:12" x14ac:dyDescent="0.3">
      <c r="A488" t="s">
        <v>2809</v>
      </c>
      <c r="B488" t="s">
        <v>13</v>
      </c>
      <c r="C488" t="s">
        <v>2810</v>
      </c>
      <c r="D488" t="s">
        <v>562</v>
      </c>
      <c r="E488" t="s">
        <v>2811</v>
      </c>
      <c r="F488" t="s">
        <v>16</v>
      </c>
      <c r="G488" s="2">
        <v>44926</v>
      </c>
      <c r="H488">
        <v>1968</v>
      </c>
      <c r="I488" t="s">
        <v>17</v>
      </c>
      <c r="J488" t="s">
        <v>155</v>
      </c>
      <c r="K488" t="s">
        <v>2812</v>
      </c>
      <c r="L488" t="s">
        <v>2813</v>
      </c>
    </row>
    <row r="489" spans="1:12" x14ac:dyDescent="0.3">
      <c r="A489" t="s">
        <v>2814</v>
      </c>
      <c r="B489" t="s">
        <v>13</v>
      </c>
      <c r="C489" t="s">
        <v>2815</v>
      </c>
      <c r="D489" t="s">
        <v>2816</v>
      </c>
      <c r="E489" t="s">
        <v>2817</v>
      </c>
      <c r="F489" t="s">
        <v>16</v>
      </c>
      <c r="G489" s="2">
        <v>44927</v>
      </c>
      <c r="H489">
        <v>2013</v>
      </c>
      <c r="I489" t="s">
        <v>264</v>
      </c>
      <c r="J489" t="s">
        <v>18</v>
      </c>
      <c r="K489" t="s">
        <v>2818</v>
      </c>
      <c r="L489" t="s">
        <v>2819</v>
      </c>
    </row>
    <row r="490" spans="1:12" x14ac:dyDescent="0.3">
      <c r="A490" t="s">
        <v>2820</v>
      </c>
      <c r="B490" t="s">
        <v>22</v>
      </c>
      <c r="C490" t="s">
        <v>2821</v>
      </c>
      <c r="D490" t="s">
        <v>2963</v>
      </c>
      <c r="E490" t="s">
        <v>2822</v>
      </c>
      <c r="F490" t="s">
        <v>16</v>
      </c>
      <c r="G490" s="2">
        <v>44928</v>
      </c>
      <c r="H490">
        <v>2016</v>
      </c>
      <c r="I490" t="s">
        <v>74</v>
      </c>
      <c r="J490" t="s">
        <v>34</v>
      </c>
      <c r="K490" t="s">
        <v>2823</v>
      </c>
      <c r="L490" t="s">
        <v>2824</v>
      </c>
    </row>
    <row r="491" spans="1:12" x14ac:dyDescent="0.3">
      <c r="A491" t="s">
        <v>2825</v>
      </c>
      <c r="B491" t="s">
        <v>13</v>
      </c>
      <c r="C491" t="s">
        <v>2826</v>
      </c>
      <c r="D491" t="s">
        <v>2827</v>
      </c>
      <c r="E491" t="s">
        <v>2963</v>
      </c>
      <c r="F491" t="s">
        <v>16</v>
      </c>
      <c r="G491" s="2">
        <v>44929</v>
      </c>
      <c r="H491">
        <v>1990</v>
      </c>
      <c r="I491" t="s">
        <v>264</v>
      </c>
      <c r="J491" t="s">
        <v>1236</v>
      </c>
      <c r="K491" t="s">
        <v>2828</v>
      </c>
      <c r="L491" t="s">
        <v>2829</v>
      </c>
    </row>
    <row r="492" spans="1:12" x14ac:dyDescent="0.3">
      <c r="A492" t="s">
        <v>2830</v>
      </c>
      <c r="B492" t="s">
        <v>22</v>
      </c>
      <c r="C492" t="s">
        <v>2831</v>
      </c>
      <c r="D492" t="s">
        <v>2963</v>
      </c>
      <c r="E492" t="s">
        <v>2832</v>
      </c>
      <c r="F492" t="s">
        <v>16</v>
      </c>
      <c r="G492" s="2">
        <v>44930</v>
      </c>
      <c r="H492">
        <v>1990</v>
      </c>
      <c r="I492" t="s">
        <v>100</v>
      </c>
      <c r="J492" t="s">
        <v>139</v>
      </c>
      <c r="K492" t="s">
        <v>2833</v>
      </c>
      <c r="L492" t="s">
        <v>2834</v>
      </c>
    </row>
    <row r="493" spans="1:12" x14ac:dyDescent="0.3">
      <c r="A493" t="s">
        <v>2835</v>
      </c>
      <c r="B493" t="s">
        <v>13</v>
      </c>
      <c r="C493" t="s">
        <v>2836</v>
      </c>
      <c r="D493" t="s">
        <v>2508</v>
      </c>
      <c r="E493" t="s">
        <v>2837</v>
      </c>
      <c r="F493" t="s">
        <v>16</v>
      </c>
      <c r="G493" s="2">
        <v>44931</v>
      </c>
      <c r="H493">
        <v>1993</v>
      </c>
      <c r="I493" t="s">
        <v>17</v>
      </c>
      <c r="J493" t="s">
        <v>1071</v>
      </c>
      <c r="K493" t="s">
        <v>2838</v>
      </c>
      <c r="L493" t="s">
        <v>2839</v>
      </c>
    </row>
    <row r="494" spans="1:12" x14ac:dyDescent="0.3">
      <c r="A494" t="s">
        <v>2840</v>
      </c>
      <c r="B494" t="s">
        <v>13</v>
      </c>
      <c r="C494" t="s">
        <v>2841</v>
      </c>
      <c r="D494" t="s">
        <v>1545</v>
      </c>
      <c r="E494" t="s">
        <v>2842</v>
      </c>
      <c r="F494" t="s">
        <v>16</v>
      </c>
      <c r="G494" s="2">
        <v>44932</v>
      </c>
      <c r="H494">
        <v>1980</v>
      </c>
      <c r="I494" t="s">
        <v>264</v>
      </c>
      <c r="J494" t="s">
        <v>600</v>
      </c>
      <c r="K494" t="s">
        <v>2843</v>
      </c>
      <c r="L494" t="s">
        <v>2844</v>
      </c>
    </row>
    <row r="495" spans="1:12" x14ac:dyDescent="0.3">
      <c r="A495" t="s">
        <v>2845</v>
      </c>
      <c r="B495" t="s">
        <v>13</v>
      </c>
      <c r="C495" t="s">
        <v>2846</v>
      </c>
      <c r="D495" t="s">
        <v>2847</v>
      </c>
      <c r="E495" t="s">
        <v>2848</v>
      </c>
      <c r="F495" t="s">
        <v>16</v>
      </c>
      <c r="G495" s="2">
        <v>44933</v>
      </c>
      <c r="H495">
        <v>1984</v>
      </c>
      <c r="I495" t="s">
        <v>17</v>
      </c>
      <c r="J495" t="s">
        <v>455</v>
      </c>
      <c r="K495" t="s">
        <v>2849</v>
      </c>
      <c r="L495" t="s">
        <v>2850</v>
      </c>
    </row>
    <row r="496" spans="1:12" x14ac:dyDescent="0.3">
      <c r="A496" t="s">
        <v>2851</v>
      </c>
      <c r="B496" t="s">
        <v>13</v>
      </c>
      <c r="C496" t="s">
        <v>2852</v>
      </c>
      <c r="D496" t="s">
        <v>2153</v>
      </c>
      <c r="E496" t="s">
        <v>2853</v>
      </c>
      <c r="F496" t="s">
        <v>16</v>
      </c>
      <c r="G496" s="2">
        <v>44934</v>
      </c>
      <c r="H496">
        <v>2014</v>
      </c>
      <c r="I496" t="s">
        <v>74</v>
      </c>
      <c r="J496" t="s">
        <v>272</v>
      </c>
      <c r="K496" t="s">
        <v>2854</v>
      </c>
      <c r="L496" t="s">
        <v>2855</v>
      </c>
    </row>
    <row r="497" spans="1:12" x14ac:dyDescent="0.3">
      <c r="A497" t="s">
        <v>2856</v>
      </c>
      <c r="B497" t="s">
        <v>13</v>
      </c>
      <c r="C497" t="s">
        <v>2857</v>
      </c>
      <c r="D497" t="s">
        <v>2858</v>
      </c>
      <c r="E497" t="s">
        <v>2859</v>
      </c>
      <c r="F497" t="s">
        <v>16</v>
      </c>
      <c r="G497" s="2">
        <v>44935</v>
      </c>
      <c r="H497">
        <v>1968</v>
      </c>
      <c r="I497" t="s">
        <v>264</v>
      </c>
      <c r="J497" t="s">
        <v>1202</v>
      </c>
      <c r="K497" t="s">
        <v>2860</v>
      </c>
      <c r="L497" t="s">
        <v>2861</v>
      </c>
    </row>
    <row r="498" spans="1:12" x14ac:dyDescent="0.3">
      <c r="A498" t="s">
        <v>2862</v>
      </c>
      <c r="B498" t="s">
        <v>13</v>
      </c>
      <c r="C498" t="s">
        <v>2863</v>
      </c>
      <c r="D498" t="s">
        <v>2864</v>
      </c>
      <c r="E498" t="s">
        <v>2865</v>
      </c>
      <c r="F498" t="s">
        <v>16</v>
      </c>
      <c r="G498" s="2">
        <v>44936</v>
      </c>
      <c r="H498">
        <v>1955</v>
      </c>
      <c r="I498" t="s">
        <v>100</v>
      </c>
      <c r="J498" t="s">
        <v>301</v>
      </c>
      <c r="K498" t="s">
        <v>2866</v>
      </c>
      <c r="L498" t="s">
        <v>2867</v>
      </c>
    </row>
    <row r="499" spans="1:12" x14ac:dyDescent="0.3">
      <c r="A499" t="s">
        <v>2868</v>
      </c>
      <c r="B499" t="s">
        <v>13</v>
      </c>
      <c r="C499" t="s">
        <v>2869</v>
      </c>
      <c r="D499" t="s">
        <v>2870</v>
      </c>
      <c r="E499" t="s">
        <v>2871</v>
      </c>
      <c r="F499" t="s">
        <v>16</v>
      </c>
      <c r="G499" s="2">
        <v>44937</v>
      </c>
      <c r="H499">
        <v>1993</v>
      </c>
      <c r="I499" t="s">
        <v>57</v>
      </c>
      <c r="J499" t="s">
        <v>212</v>
      </c>
      <c r="K499" t="s">
        <v>2872</v>
      </c>
      <c r="L499" t="s">
        <v>2873</v>
      </c>
    </row>
    <row r="500" spans="1:12" x14ac:dyDescent="0.3">
      <c r="A500" t="s">
        <v>2874</v>
      </c>
      <c r="B500" t="s">
        <v>13</v>
      </c>
      <c r="C500" t="s">
        <v>2875</v>
      </c>
      <c r="D500" t="s">
        <v>1373</v>
      </c>
      <c r="E500" t="s">
        <v>2876</v>
      </c>
      <c r="F500" t="s">
        <v>16</v>
      </c>
      <c r="G500" s="2">
        <v>44938</v>
      </c>
      <c r="H500">
        <v>2011</v>
      </c>
      <c r="I500" t="s">
        <v>57</v>
      </c>
      <c r="J500" t="s">
        <v>184</v>
      </c>
      <c r="K500" t="s">
        <v>2877</v>
      </c>
      <c r="L500" t="s">
        <v>2878</v>
      </c>
    </row>
    <row r="501" spans="1:12" x14ac:dyDescent="0.3">
      <c r="A501" t="s">
        <v>2879</v>
      </c>
      <c r="B501" t="s">
        <v>13</v>
      </c>
      <c r="C501" t="s">
        <v>2880</v>
      </c>
      <c r="D501" t="s">
        <v>2881</v>
      </c>
      <c r="E501" t="s">
        <v>2882</v>
      </c>
      <c r="F501" t="s">
        <v>16</v>
      </c>
      <c r="G501" s="2">
        <v>44939</v>
      </c>
      <c r="H501">
        <v>1992</v>
      </c>
      <c r="I501" t="s">
        <v>57</v>
      </c>
      <c r="J501" t="s">
        <v>302</v>
      </c>
      <c r="K501" t="s">
        <v>2883</v>
      </c>
      <c r="L501" t="s">
        <v>2884</v>
      </c>
    </row>
    <row r="502" spans="1:12" x14ac:dyDescent="0.3">
      <c r="A502" t="s">
        <v>2885</v>
      </c>
      <c r="B502" t="s">
        <v>13</v>
      </c>
      <c r="C502" t="s">
        <v>2886</v>
      </c>
      <c r="D502" t="s">
        <v>555</v>
      </c>
      <c r="E502" t="s">
        <v>2887</v>
      </c>
      <c r="F502" t="s">
        <v>16</v>
      </c>
      <c r="G502" s="2">
        <v>44940</v>
      </c>
      <c r="H502">
        <v>2007</v>
      </c>
      <c r="I502" t="s">
        <v>264</v>
      </c>
      <c r="J502" t="s">
        <v>250</v>
      </c>
      <c r="K502" t="s">
        <v>2888</v>
      </c>
      <c r="L502" t="s">
        <v>2889</v>
      </c>
    </row>
    <row r="503" spans="1:12" x14ac:dyDescent="0.3">
      <c r="A503" t="s">
        <v>2891</v>
      </c>
      <c r="B503" t="s">
        <v>13</v>
      </c>
      <c r="C503" t="s">
        <v>2892</v>
      </c>
      <c r="D503" t="s">
        <v>2890</v>
      </c>
      <c r="E503" t="s">
        <v>2893</v>
      </c>
      <c r="F503" t="s">
        <v>16</v>
      </c>
      <c r="G503" s="2">
        <v>44941</v>
      </c>
      <c r="H503">
        <v>1992</v>
      </c>
      <c r="I503" t="s">
        <v>264</v>
      </c>
      <c r="J503" t="s">
        <v>593</v>
      </c>
      <c r="K503" t="s">
        <v>2894</v>
      </c>
      <c r="L503" t="s">
        <v>2895</v>
      </c>
    </row>
    <row r="504" spans="1:12" x14ac:dyDescent="0.3">
      <c r="A504" t="s">
        <v>2896</v>
      </c>
      <c r="B504" t="s">
        <v>13</v>
      </c>
      <c r="C504" t="s">
        <v>2897</v>
      </c>
      <c r="D504" t="s">
        <v>2898</v>
      </c>
      <c r="E504" t="s">
        <v>2899</v>
      </c>
      <c r="F504" t="s">
        <v>16</v>
      </c>
      <c r="G504" s="2">
        <v>44942</v>
      </c>
      <c r="H504">
        <v>2017</v>
      </c>
      <c r="I504" t="s">
        <v>57</v>
      </c>
      <c r="J504" t="s">
        <v>559</v>
      </c>
      <c r="K504" t="s">
        <v>2900</v>
      </c>
      <c r="L504" t="s">
        <v>2901</v>
      </c>
    </row>
    <row r="505" spans="1:12" x14ac:dyDescent="0.3">
      <c r="A505" t="s">
        <v>2902</v>
      </c>
      <c r="B505" t="s">
        <v>13</v>
      </c>
      <c r="C505" t="s">
        <v>2903</v>
      </c>
      <c r="D505" t="s">
        <v>2904</v>
      </c>
      <c r="E505" t="s">
        <v>2905</v>
      </c>
      <c r="F505" t="s">
        <v>16</v>
      </c>
      <c r="G505" s="2">
        <v>44943</v>
      </c>
      <c r="H505">
        <v>1974</v>
      </c>
      <c r="I505" t="s">
        <v>264</v>
      </c>
      <c r="J505" t="s">
        <v>487</v>
      </c>
      <c r="K505" t="s">
        <v>2906</v>
      </c>
      <c r="L505" t="s">
        <v>2907</v>
      </c>
    </row>
    <row r="506" spans="1:12" x14ac:dyDescent="0.3">
      <c r="A506" t="s">
        <v>2908</v>
      </c>
      <c r="B506" t="s">
        <v>13</v>
      </c>
      <c r="C506" t="s">
        <v>2909</v>
      </c>
      <c r="D506" t="s">
        <v>2910</v>
      </c>
      <c r="E506" t="s">
        <v>2911</v>
      </c>
      <c r="F506" t="s">
        <v>16</v>
      </c>
      <c r="G506" s="2">
        <v>44944</v>
      </c>
      <c r="H506">
        <v>2008</v>
      </c>
      <c r="I506" t="s">
        <v>57</v>
      </c>
      <c r="J506" t="s">
        <v>302</v>
      </c>
      <c r="K506" t="s">
        <v>2912</v>
      </c>
      <c r="L506" t="s">
        <v>2913</v>
      </c>
    </row>
    <row r="507" spans="1:12" x14ac:dyDescent="0.3">
      <c r="A507" t="s">
        <v>2914</v>
      </c>
      <c r="B507" t="s">
        <v>13</v>
      </c>
      <c r="C507" t="s">
        <v>2915</v>
      </c>
      <c r="D507" t="s">
        <v>1208</v>
      </c>
      <c r="E507" t="s">
        <v>2916</v>
      </c>
      <c r="F507" t="s">
        <v>16</v>
      </c>
      <c r="G507" s="2">
        <v>44945</v>
      </c>
      <c r="H507">
        <v>2016</v>
      </c>
      <c r="I507" t="s">
        <v>17</v>
      </c>
      <c r="J507" t="s">
        <v>501</v>
      </c>
      <c r="K507" t="s">
        <v>2917</v>
      </c>
      <c r="L507" t="s">
        <v>2918</v>
      </c>
    </row>
    <row r="508" spans="1:12" x14ac:dyDescent="0.3">
      <c r="A508" t="s">
        <v>2919</v>
      </c>
      <c r="B508" t="s">
        <v>22</v>
      </c>
      <c r="C508" t="s">
        <v>2920</v>
      </c>
      <c r="D508" t="s">
        <v>2963</v>
      </c>
      <c r="E508" t="s">
        <v>2921</v>
      </c>
      <c r="F508" t="s">
        <v>16</v>
      </c>
      <c r="G508" s="2">
        <v>44946</v>
      </c>
      <c r="H508">
        <v>1963</v>
      </c>
      <c r="I508" t="s">
        <v>74</v>
      </c>
      <c r="J508" t="s">
        <v>110</v>
      </c>
      <c r="K508" t="s">
        <v>2922</v>
      </c>
      <c r="L508" t="s">
        <v>2923</v>
      </c>
    </row>
    <row r="509" spans="1:12" x14ac:dyDescent="0.3">
      <c r="A509" t="s">
        <v>2924</v>
      </c>
      <c r="B509" t="s">
        <v>13</v>
      </c>
      <c r="C509" t="s">
        <v>2925</v>
      </c>
      <c r="D509" t="s">
        <v>2926</v>
      </c>
      <c r="E509" t="s">
        <v>2927</v>
      </c>
      <c r="F509" t="s">
        <v>16</v>
      </c>
      <c r="G509" s="2">
        <v>44947</v>
      </c>
      <c r="H509">
        <v>1995</v>
      </c>
      <c r="I509" t="s">
        <v>17</v>
      </c>
      <c r="J509" t="s">
        <v>464</v>
      </c>
      <c r="K509" t="s">
        <v>2928</v>
      </c>
      <c r="L509" t="s">
        <v>2929</v>
      </c>
    </row>
    <row r="510" spans="1:12" x14ac:dyDescent="0.3">
      <c r="A510" t="s">
        <v>2930</v>
      </c>
      <c r="B510" t="s">
        <v>13</v>
      </c>
      <c r="C510" t="s">
        <v>2931</v>
      </c>
      <c r="D510" t="s">
        <v>2932</v>
      </c>
      <c r="E510" t="s">
        <v>2933</v>
      </c>
      <c r="F510" t="s">
        <v>16</v>
      </c>
      <c r="G510" s="2">
        <v>44948</v>
      </c>
      <c r="H510">
        <v>1995</v>
      </c>
      <c r="I510" t="s">
        <v>17</v>
      </c>
      <c r="J510" t="s">
        <v>293</v>
      </c>
      <c r="K510" t="s">
        <v>2934</v>
      </c>
      <c r="L510" t="s">
        <v>2935</v>
      </c>
    </row>
    <row r="511" spans="1:12" x14ac:dyDescent="0.3">
      <c r="A511" t="s">
        <v>2936</v>
      </c>
      <c r="B511" t="s">
        <v>13</v>
      </c>
      <c r="C511" t="s">
        <v>2937</v>
      </c>
      <c r="D511" t="s">
        <v>1272</v>
      </c>
      <c r="E511" t="s">
        <v>2938</v>
      </c>
      <c r="F511" t="s">
        <v>16</v>
      </c>
      <c r="G511" s="2">
        <v>44949</v>
      </c>
      <c r="H511">
        <v>2018</v>
      </c>
      <c r="I511" t="s">
        <v>17</v>
      </c>
      <c r="J511" t="s">
        <v>257</v>
      </c>
      <c r="K511" t="s">
        <v>2939</v>
      </c>
      <c r="L511" t="s">
        <v>2940</v>
      </c>
    </row>
    <row r="512" spans="1:12" x14ac:dyDescent="0.3">
      <c r="A512" t="s">
        <v>2941</v>
      </c>
      <c r="B512" t="s">
        <v>22</v>
      </c>
      <c r="C512" t="s">
        <v>2942</v>
      </c>
      <c r="D512" t="s">
        <v>2963</v>
      </c>
      <c r="E512" t="s">
        <v>2943</v>
      </c>
      <c r="F512" t="s">
        <v>16</v>
      </c>
      <c r="G512" s="2">
        <v>44950</v>
      </c>
      <c r="H512">
        <v>1990</v>
      </c>
      <c r="I512" t="s">
        <v>74</v>
      </c>
      <c r="J512" t="s">
        <v>27</v>
      </c>
      <c r="K512" t="s">
        <v>2944</v>
      </c>
      <c r="L512" t="s">
        <v>2945</v>
      </c>
    </row>
    <row r="513" spans="1:12" x14ac:dyDescent="0.3">
      <c r="A513" t="s">
        <v>2946</v>
      </c>
      <c r="B513" t="s">
        <v>13</v>
      </c>
      <c r="C513" t="s">
        <v>2947</v>
      </c>
      <c r="D513" t="s">
        <v>2948</v>
      </c>
      <c r="E513" t="s">
        <v>2949</v>
      </c>
      <c r="F513" t="s">
        <v>16</v>
      </c>
      <c r="G513" s="2">
        <v>44951</v>
      </c>
      <c r="H513">
        <v>2017</v>
      </c>
      <c r="I513" t="s">
        <v>74</v>
      </c>
      <c r="J513" t="s">
        <v>2181</v>
      </c>
      <c r="K513" t="s">
        <v>2950</v>
      </c>
      <c r="L513" t="s">
        <v>2951</v>
      </c>
    </row>
    <row r="514" spans="1:12" x14ac:dyDescent="0.3">
      <c r="A514" t="s">
        <v>2952</v>
      </c>
      <c r="B514" t="s">
        <v>13</v>
      </c>
      <c r="C514" t="s">
        <v>2953</v>
      </c>
      <c r="D514" t="s">
        <v>2954</v>
      </c>
      <c r="E514" t="s">
        <v>2955</v>
      </c>
      <c r="F514" t="s">
        <v>16</v>
      </c>
      <c r="G514" s="2">
        <v>44952</v>
      </c>
      <c r="H514">
        <v>2010</v>
      </c>
      <c r="I514" t="s">
        <v>100</v>
      </c>
      <c r="J514" t="s">
        <v>185</v>
      </c>
      <c r="K514" t="s">
        <v>2956</v>
      </c>
      <c r="L514" t="s">
        <v>2957</v>
      </c>
    </row>
    <row r="515" spans="1:12" x14ac:dyDescent="0.3">
      <c r="A515" t="s">
        <v>2958</v>
      </c>
      <c r="B515" t="s">
        <v>13</v>
      </c>
      <c r="C515" t="s">
        <v>2959</v>
      </c>
      <c r="D515" t="s">
        <v>1111</v>
      </c>
      <c r="E515" t="s">
        <v>2960</v>
      </c>
      <c r="F515" t="s">
        <v>16</v>
      </c>
      <c r="G515" s="2">
        <v>44953</v>
      </c>
      <c r="H515">
        <v>2007</v>
      </c>
      <c r="I515" t="s">
        <v>264</v>
      </c>
      <c r="J515" t="s">
        <v>1441</v>
      </c>
      <c r="K515" t="s">
        <v>2961</v>
      </c>
      <c r="L515" t="s">
        <v>2962</v>
      </c>
    </row>
  </sheetData>
  <autoFilter ref="A1:L515" xr:uid="{6A10F514-6EA2-4554-9040-1A55B07C293B}"/>
  <phoneticPr fontId="18" type="noConversion"/>
  <pageMargins left="0.7" right="0.7" top="0.75" bottom="0.75" header="0.3" footer="0.3"/>
  <extLst>
    <ext xmlns:x14="http://schemas.microsoft.com/office/spreadsheetml/2009/9/main" uri="{05C60535-1F16-4fd2-B633-F4F36F0B64E0}">
      <x14:sparklineGroups xmlns:xm="http://schemas.microsoft.com/office/excel/2006/main">
        <x14:sparklineGroup type="column" displayEmptyCellsAs="gap" xr2:uid="{8A188EBB-CAB5-4C47-8DF8-4824598819D2}">
          <x14:colorSeries rgb="FF376092"/>
          <x14:colorNegative rgb="FFD00000"/>
          <x14:colorAxis rgb="FF000000"/>
          <x14:colorMarkers rgb="FFD00000"/>
          <x14:colorFirst rgb="FFD00000"/>
          <x14:colorLast rgb="FFD00000"/>
          <x14:colorHigh rgb="FFD00000"/>
          <x14:colorLow rgb="FFD00000"/>
          <x14:sparklines>
            <x14:sparkline>
              <xm:f>netflix_titles!D1</xm:f>
              <xm:sqref>D2</xm:sqref>
            </x14:sparkline>
          </x14:sparklines>
        </x14:sparklineGroup>
        <x14:sparklineGroup type="column" displayEmptyCellsAs="gap" xr2:uid="{EBCD45BC-462F-4F79-A17F-98D07DBE916B}">
          <x14:colorSeries rgb="FF376092"/>
          <x14:colorNegative rgb="FFD00000"/>
          <x14:colorAxis rgb="FF000000"/>
          <x14:colorMarkers rgb="FFD00000"/>
          <x14:colorFirst rgb="FFD00000"/>
          <x14:colorLast rgb="FFD00000"/>
          <x14:colorHigh rgb="FFD00000"/>
          <x14:colorLow rgb="FFD00000"/>
          <x14:sparklines>
            <x14:sparkline>
              <xm:f>netflix_titles!D1</xm:f>
              <xm:sqref>D1</xm:sqref>
            </x14:sparkline>
          </x14:sparklines>
        </x14:sparklineGroup>
      </x14:sparklineGroup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EA2497-3699-404F-98C9-3994CB918BB1}">
  <dimension ref="A1:J515"/>
  <sheetViews>
    <sheetView workbookViewId="0">
      <selection activeCell="D1" sqref="D1"/>
    </sheetView>
  </sheetViews>
  <sheetFormatPr defaultRowHeight="14.4" x14ac:dyDescent="0.3"/>
  <sheetData>
    <row r="1" spans="1:10" x14ac:dyDescent="0.3">
      <c r="A1" t="s">
        <v>2</v>
      </c>
      <c r="B1" t="s">
        <v>3</v>
      </c>
      <c r="C1" t="s">
        <v>5</v>
      </c>
      <c r="D1" t="s">
        <v>2969</v>
      </c>
      <c r="F1" t="s">
        <v>2968</v>
      </c>
      <c r="G1" t="s">
        <v>2964</v>
      </c>
      <c r="H1" t="s">
        <v>2965</v>
      </c>
      <c r="I1" t="s">
        <v>2966</v>
      </c>
      <c r="J1" t="s">
        <v>2967</v>
      </c>
    </row>
    <row r="2" spans="1:10" x14ac:dyDescent="0.3">
      <c r="A2" t="s">
        <v>14</v>
      </c>
      <c r="C2" t="s">
        <v>15</v>
      </c>
      <c r="D2" t="s">
        <v>16</v>
      </c>
      <c r="E2" s="2">
        <v>44440</v>
      </c>
      <c r="G2" t="str">
        <f>TRIM(A2)</f>
        <v>Dick Johnson Is Dead</v>
      </c>
      <c r="H2" t="str">
        <f>IF('Cleaned-data'!C2="unknown","Unknown",PROPER(TRIM('Cleaned-data'!C2)))</f>
        <v>Kirsten Johnson</v>
      </c>
      <c r="I2" t="str">
        <f>TRIM(D2)</f>
        <v>United States</v>
      </c>
      <c r="J2" s="2">
        <v>44440</v>
      </c>
    </row>
    <row r="3" spans="1:10" x14ac:dyDescent="0.3">
      <c r="A3" t="s">
        <v>23</v>
      </c>
      <c r="C3" t="s">
        <v>2963</v>
      </c>
      <c r="D3" t="s">
        <v>16</v>
      </c>
      <c r="E3" s="2">
        <v>44441</v>
      </c>
      <c r="G3" t="str">
        <f t="shared" ref="G3:G66" si="0">TRIM(A3)</f>
        <v>Blood &amp; Water</v>
      </c>
      <c r="H3" t="str">
        <f>IF('Cleaned-data'!C3="unknown","Unknown",PROPER(TRIM('Cleaned-data'!C3)))</f>
        <v>Unknown</v>
      </c>
      <c r="I3" t="str">
        <f t="shared" ref="I3:I66" si="1">TRIM(D3)</f>
        <v>United States</v>
      </c>
      <c r="J3" s="2">
        <v>44441</v>
      </c>
    </row>
    <row r="4" spans="1:10" x14ac:dyDescent="0.3">
      <c r="A4" t="s">
        <v>31</v>
      </c>
      <c r="C4" t="s">
        <v>32</v>
      </c>
      <c r="D4" t="s">
        <v>16</v>
      </c>
      <c r="E4" s="2">
        <v>44442</v>
      </c>
      <c r="G4" t="str">
        <f t="shared" si="0"/>
        <v>Ganglands</v>
      </c>
      <c r="H4" t="str">
        <f>IF('Cleaned-data'!C4="unknown","Unknown",PROPER(TRIM('Cleaned-data'!C4)))</f>
        <v>Julien Leclercq</v>
      </c>
      <c r="I4" t="str">
        <f t="shared" si="1"/>
        <v>United States</v>
      </c>
      <c r="J4" s="2">
        <v>44442</v>
      </c>
    </row>
    <row r="5" spans="1:10" x14ac:dyDescent="0.3">
      <c r="A5" t="s">
        <v>38</v>
      </c>
      <c r="C5" t="s">
        <v>2963</v>
      </c>
      <c r="D5" t="s">
        <v>16</v>
      </c>
      <c r="E5" s="2">
        <v>44443</v>
      </c>
      <c r="G5" t="str">
        <f t="shared" si="0"/>
        <v>Jailbirds New Orleans</v>
      </c>
      <c r="H5" t="str">
        <f>IF('Cleaned-data'!C5="unknown","Unknown",PROPER(TRIM('Cleaned-data'!C5)))</f>
        <v>Unknown</v>
      </c>
      <c r="I5" t="str">
        <f t="shared" si="1"/>
        <v>United States</v>
      </c>
      <c r="J5" s="2">
        <v>44443</v>
      </c>
    </row>
    <row r="6" spans="1:10" x14ac:dyDescent="0.3">
      <c r="A6" t="s">
        <v>42</v>
      </c>
      <c r="C6" t="s">
        <v>2963</v>
      </c>
      <c r="D6" t="s">
        <v>16</v>
      </c>
      <c r="E6" s="2">
        <v>44444</v>
      </c>
      <c r="G6" t="str">
        <f t="shared" si="0"/>
        <v>Kota Factory</v>
      </c>
      <c r="H6" t="str">
        <f>IF('Cleaned-data'!C6="unknown","Unknown",PROPER(TRIM('Cleaned-data'!C6)))</f>
        <v>Unknown</v>
      </c>
      <c r="I6" t="str">
        <f t="shared" si="1"/>
        <v>United States</v>
      </c>
      <c r="J6" s="2">
        <v>44444</v>
      </c>
    </row>
    <row r="7" spans="1:10" x14ac:dyDescent="0.3">
      <c r="A7" t="s">
        <v>48</v>
      </c>
      <c r="C7" t="s">
        <v>49</v>
      </c>
      <c r="D7" t="s">
        <v>16</v>
      </c>
      <c r="E7" s="2">
        <v>44445</v>
      </c>
      <c r="G7" t="str">
        <f t="shared" si="0"/>
        <v>Midnight Mass</v>
      </c>
      <c r="H7" t="str">
        <f>IF('Cleaned-data'!C7="unknown","Unknown",PROPER(TRIM('Cleaned-data'!C7)))</f>
        <v>Mike Flanagan</v>
      </c>
      <c r="I7" t="str">
        <f t="shared" si="1"/>
        <v>United States</v>
      </c>
      <c r="J7" s="2">
        <v>44445</v>
      </c>
    </row>
    <row r="8" spans="1:10" x14ac:dyDescent="0.3">
      <c r="A8" t="s">
        <v>54</v>
      </c>
      <c r="C8" t="s">
        <v>55</v>
      </c>
      <c r="D8" t="s">
        <v>16</v>
      </c>
      <c r="E8" s="2">
        <v>44446</v>
      </c>
      <c r="G8" t="str">
        <f t="shared" si="0"/>
        <v>My Little Pony: A New Generation</v>
      </c>
      <c r="H8" t="str">
        <f>IF('Cleaned-data'!C8="unknown","Unknown",PROPER(TRIM('Cleaned-data'!C8)))</f>
        <v>Robert Cullen, Josã© Luis Ucha</v>
      </c>
      <c r="I8" t="str">
        <f t="shared" si="1"/>
        <v>United States</v>
      </c>
      <c r="J8" s="2">
        <v>44446</v>
      </c>
    </row>
    <row r="9" spans="1:10" x14ac:dyDescent="0.3">
      <c r="A9" t="s">
        <v>62</v>
      </c>
      <c r="C9" t="s">
        <v>63</v>
      </c>
      <c r="D9" t="s">
        <v>16</v>
      </c>
      <c r="E9" s="2">
        <v>44447</v>
      </c>
      <c r="G9" t="str">
        <f t="shared" si="0"/>
        <v>Sankofa</v>
      </c>
      <c r="H9" t="str">
        <f>IF('Cleaned-data'!C9="unknown","Unknown",PROPER(TRIM('Cleaned-data'!C9)))</f>
        <v>Haile Gerima</v>
      </c>
      <c r="I9" t="str">
        <f t="shared" si="1"/>
        <v>United States</v>
      </c>
      <c r="J9" s="2">
        <v>44447</v>
      </c>
    </row>
    <row r="10" spans="1:10" x14ac:dyDescent="0.3">
      <c r="A10" t="s">
        <v>70</v>
      </c>
      <c r="C10" t="s">
        <v>71</v>
      </c>
      <c r="D10" t="s">
        <v>16</v>
      </c>
      <c r="E10" s="2">
        <v>44448</v>
      </c>
      <c r="G10" t="str">
        <f t="shared" si="0"/>
        <v>The Great British Baking Show</v>
      </c>
      <c r="H10" t="str">
        <f>IF('Cleaned-data'!C10="unknown","Unknown",PROPER(TRIM('Cleaned-data'!C10)))</f>
        <v>Andy Devonshire</v>
      </c>
      <c r="I10" t="str">
        <f t="shared" si="1"/>
        <v>United States</v>
      </c>
      <c r="J10" s="2">
        <v>44448</v>
      </c>
    </row>
    <row r="11" spans="1:10" x14ac:dyDescent="0.3">
      <c r="A11" t="s">
        <v>79</v>
      </c>
      <c r="C11" t="s">
        <v>80</v>
      </c>
      <c r="D11" t="s">
        <v>16</v>
      </c>
      <c r="E11" s="2">
        <v>44449</v>
      </c>
      <c r="G11" t="str">
        <f t="shared" si="0"/>
        <v>The Starling</v>
      </c>
      <c r="H11" t="str">
        <f>IF('Cleaned-data'!C11="unknown","Unknown",PROPER(TRIM('Cleaned-data'!C11)))</f>
        <v>Theodore Melfi</v>
      </c>
      <c r="I11" t="str">
        <f t="shared" si="1"/>
        <v>United States</v>
      </c>
      <c r="J11" s="2">
        <v>44449</v>
      </c>
    </row>
    <row r="12" spans="1:10" x14ac:dyDescent="0.3">
      <c r="A12" t="s">
        <v>86</v>
      </c>
      <c r="C12" t="s">
        <v>2963</v>
      </c>
      <c r="D12" t="s">
        <v>16</v>
      </c>
      <c r="E12" s="2">
        <v>44450</v>
      </c>
      <c r="G12" t="str">
        <f t="shared" si="0"/>
        <v>Vendetta: Truth, Lies and The Mafia</v>
      </c>
      <c r="H12" t="str">
        <f>IF('Cleaned-data'!C12="unknown","Unknown",PROPER(TRIM('Cleaned-data'!C12)))</f>
        <v>Unknown</v>
      </c>
      <c r="I12" t="str">
        <f t="shared" si="1"/>
        <v>United States</v>
      </c>
      <c r="J12" s="2">
        <v>44450</v>
      </c>
    </row>
    <row r="13" spans="1:10" x14ac:dyDescent="0.3">
      <c r="A13" t="s">
        <v>90</v>
      </c>
      <c r="C13" t="s">
        <v>91</v>
      </c>
      <c r="D13" t="s">
        <v>16</v>
      </c>
      <c r="E13" s="2">
        <v>44451</v>
      </c>
      <c r="G13" t="str">
        <f t="shared" si="0"/>
        <v>Je Suis Karl</v>
      </c>
      <c r="H13" t="str">
        <f>IF('Cleaned-data'!C13="unknown","Unknown",PROPER(TRIM('Cleaned-data'!C13)))</f>
        <v>Christian Schwochow</v>
      </c>
      <c r="I13" t="str">
        <f t="shared" si="1"/>
        <v>United States</v>
      </c>
      <c r="J13" s="2">
        <v>44451</v>
      </c>
    </row>
    <row r="14" spans="1:10" x14ac:dyDescent="0.3">
      <c r="A14" t="s">
        <v>97</v>
      </c>
      <c r="C14" t="s">
        <v>98</v>
      </c>
      <c r="D14" t="s">
        <v>16</v>
      </c>
      <c r="E14" s="2">
        <v>44452</v>
      </c>
      <c r="G14" t="str">
        <f t="shared" si="0"/>
        <v>Confessions of an Invisible Girl</v>
      </c>
      <c r="H14" t="str">
        <f>IF('Cleaned-data'!C14="unknown","Unknown",PROPER(TRIM('Cleaned-data'!C14)))</f>
        <v>Bruno Garotti</v>
      </c>
      <c r="I14" t="str">
        <f t="shared" si="1"/>
        <v>United States</v>
      </c>
      <c r="J14" s="2">
        <v>44452</v>
      </c>
    </row>
    <row r="15" spans="1:10" x14ac:dyDescent="0.3">
      <c r="A15" t="s">
        <v>104</v>
      </c>
      <c r="C15" t="s">
        <v>2963</v>
      </c>
      <c r="D15" t="s">
        <v>16</v>
      </c>
      <c r="E15" s="2">
        <v>44453</v>
      </c>
      <c r="G15" t="str">
        <f t="shared" si="0"/>
        <v>Crime Stories: India Detectives</v>
      </c>
      <c r="H15" t="str">
        <f>IF('Cleaned-data'!C15="unknown","Unknown",PROPER(TRIM('Cleaned-data'!C15)))</f>
        <v>Unknown</v>
      </c>
      <c r="I15" t="str">
        <f t="shared" si="1"/>
        <v>United States</v>
      </c>
      <c r="J15" s="2">
        <v>44453</v>
      </c>
    </row>
    <row r="16" spans="1:10" x14ac:dyDescent="0.3">
      <c r="A16" t="s">
        <v>108</v>
      </c>
      <c r="C16" t="s">
        <v>2963</v>
      </c>
      <c r="D16" t="s">
        <v>16</v>
      </c>
      <c r="E16" s="2">
        <v>44454</v>
      </c>
      <c r="G16" t="str">
        <f t="shared" si="0"/>
        <v>Dear White People</v>
      </c>
      <c r="H16" t="str">
        <f>IF('Cleaned-data'!C16="unknown","Unknown",PROPER(TRIM('Cleaned-data'!C16)))</f>
        <v>Unknown</v>
      </c>
      <c r="I16" t="str">
        <f t="shared" si="1"/>
        <v>United States</v>
      </c>
      <c r="J16" s="2">
        <v>44454</v>
      </c>
    </row>
    <row r="17" spans="1:10" x14ac:dyDescent="0.3">
      <c r="A17" t="s">
        <v>114</v>
      </c>
      <c r="C17" t="s">
        <v>115</v>
      </c>
      <c r="D17" t="s">
        <v>16</v>
      </c>
      <c r="E17" s="2">
        <v>44455</v>
      </c>
      <c r="G17" t="str">
        <f t="shared" si="0"/>
        <v>Europe's Most Dangerous Man: Otto Skorzeny in Spain</v>
      </c>
      <c r="H17" t="str">
        <f>IF('Cleaned-data'!C17="unknown","Unknown",PROPER(TRIM('Cleaned-data'!C17)))</f>
        <v>Pedro De Echave Garcã­A, Pablo Azorã­N Williams</v>
      </c>
      <c r="I17" t="str">
        <f t="shared" si="1"/>
        <v>United States</v>
      </c>
      <c r="J17" s="2">
        <v>44455</v>
      </c>
    </row>
    <row r="18" spans="1:10" x14ac:dyDescent="0.3">
      <c r="A18" t="s">
        <v>120</v>
      </c>
      <c r="C18" t="s">
        <v>2963</v>
      </c>
      <c r="D18" t="s">
        <v>16</v>
      </c>
      <c r="E18" s="2">
        <v>44456</v>
      </c>
      <c r="G18" t="str">
        <f t="shared" si="0"/>
        <v>Falsa identidad</v>
      </c>
      <c r="H18" t="str">
        <f>IF('Cleaned-data'!C18="unknown","Unknown",PROPER(TRIM('Cleaned-data'!C18)))</f>
        <v>Unknown</v>
      </c>
      <c r="I18" t="str">
        <f t="shared" si="1"/>
        <v>United States</v>
      </c>
      <c r="J18" s="2">
        <v>44456</v>
      </c>
    </row>
    <row r="19" spans="1:10" x14ac:dyDescent="0.3">
      <c r="A19" t="s">
        <v>125</v>
      </c>
      <c r="C19" t="s">
        <v>126</v>
      </c>
      <c r="D19" t="s">
        <v>16</v>
      </c>
      <c r="E19" s="2">
        <v>44457</v>
      </c>
      <c r="G19" t="str">
        <f t="shared" si="0"/>
        <v>Intrusion</v>
      </c>
      <c r="H19" t="str">
        <f>IF('Cleaned-data'!C19="unknown","Unknown",PROPER(TRIM('Cleaned-data'!C19)))</f>
        <v>Adam Salky</v>
      </c>
      <c r="I19" t="str">
        <f t="shared" si="1"/>
        <v>United States</v>
      </c>
      <c r="J19" s="2">
        <v>44457</v>
      </c>
    </row>
    <row r="20" spans="1:10" x14ac:dyDescent="0.3">
      <c r="A20" t="s">
        <v>132</v>
      </c>
      <c r="C20" t="s">
        <v>2963</v>
      </c>
      <c r="D20" t="s">
        <v>16</v>
      </c>
      <c r="E20" s="2">
        <v>44458</v>
      </c>
      <c r="G20" t="str">
        <f t="shared" si="0"/>
        <v>Jaguar</v>
      </c>
      <c r="H20" t="str">
        <f>IF('Cleaned-data'!C20="unknown","Unknown",PROPER(TRIM('Cleaned-data'!C20)))</f>
        <v>Unknown</v>
      </c>
      <c r="I20" t="str">
        <f t="shared" si="1"/>
        <v>United States</v>
      </c>
      <c r="J20" s="2">
        <v>44458</v>
      </c>
    </row>
    <row r="21" spans="1:10" x14ac:dyDescent="0.3">
      <c r="A21" t="s">
        <v>137</v>
      </c>
      <c r="C21" t="s">
        <v>2963</v>
      </c>
      <c r="D21" t="s">
        <v>16</v>
      </c>
      <c r="E21" s="2">
        <v>44459</v>
      </c>
      <c r="G21" t="str">
        <f t="shared" si="0"/>
        <v>Resurrection: Ertugrul</v>
      </c>
      <c r="H21" t="str">
        <f>IF('Cleaned-data'!C21="unknown","Unknown",PROPER(TRIM('Cleaned-data'!C21)))</f>
        <v>Unknown</v>
      </c>
      <c r="I21" t="str">
        <f t="shared" si="1"/>
        <v>United States</v>
      </c>
      <c r="J21" s="2">
        <v>44459</v>
      </c>
    </row>
    <row r="22" spans="1:10" x14ac:dyDescent="0.3">
      <c r="A22" t="s">
        <v>143</v>
      </c>
      <c r="C22" t="s">
        <v>144</v>
      </c>
      <c r="D22" t="s">
        <v>16</v>
      </c>
      <c r="E22" s="2">
        <v>44460</v>
      </c>
      <c r="G22" t="str">
        <f t="shared" si="0"/>
        <v>Avvai Shanmughi</v>
      </c>
      <c r="H22" t="str">
        <f>IF('Cleaned-data'!C22="unknown","Unknown",PROPER(TRIM('Cleaned-data'!C22)))</f>
        <v>K.S. Ravikumar</v>
      </c>
      <c r="I22" t="str">
        <f t="shared" si="1"/>
        <v>United States</v>
      </c>
      <c r="J22" s="2">
        <v>44460</v>
      </c>
    </row>
    <row r="23" spans="1:10" x14ac:dyDescent="0.3">
      <c r="A23" t="s">
        <v>152</v>
      </c>
      <c r="C23" t="s">
        <v>153</v>
      </c>
      <c r="D23" t="s">
        <v>16</v>
      </c>
      <c r="E23" s="2">
        <v>44461</v>
      </c>
      <c r="G23" t="str">
        <f t="shared" si="0"/>
        <v>Jeans</v>
      </c>
      <c r="H23" t="str">
        <f>IF('Cleaned-data'!C23="unknown","Unknown",PROPER(TRIM('Cleaned-data'!C23)))</f>
        <v>S. Shankar</v>
      </c>
      <c r="I23" t="str">
        <f t="shared" si="1"/>
        <v>United States</v>
      </c>
      <c r="J23" s="2">
        <v>44461</v>
      </c>
    </row>
    <row r="24" spans="1:10" x14ac:dyDescent="0.3">
      <c r="A24" t="s">
        <v>159</v>
      </c>
      <c r="C24" t="s">
        <v>2963</v>
      </c>
      <c r="D24" t="s">
        <v>16</v>
      </c>
      <c r="E24" s="2">
        <v>44462</v>
      </c>
      <c r="G24" t="str">
        <f t="shared" si="0"/>
        <v>Love on the Spectrum</v>
      </c>
      <c r="H24" t="str">
        <f>IF('Cleaned-data'!C24="unknown","Unknown",PROPER(TRIM('Cleaned-data'!C24)))</f>
        <v>Unknown</v>
      </c>
      <c r="I24" t="str">
        <f t="shared" si="1"/>
        <v>United States</v>
      </c>
      <c r="J24" s="2">
        <v>44462</v>
      </c>
    </row>
    <row r="25" spans="1:10" x14ac:dyDescent="0.3">
      <c r="A25" t="s">
        <v>164</v>
      </c>
      <c r="C25" t="s">
        <v>165</v>
      </c>
      <c r="D25" t="s">
        <v>16</v>
      </c>
      <c r="E25" s="2">
        <v>44463</v>
      </c>
      <c r="G25" t="str">
        <f t="shared" si="0"/>
        <v>Minsara Kanavu</v>
      </c>
      <c r="H25" t="str">
        <f>IF('Cleaned-data'!C25="unknown","Unknown",PROPER(TRIM('Cleaned-data'!C25)))</f>
        <v>Rajiv Menon</v>
      </c>
      <c r="I25" t="str">
        <f t="shared" si="1"/>
        <v>United States</v>
      </c>
      <c r="J25" s="2">
        <v>44463</v>
      </c>
    </row>
    <row r="26" spans="1:10" x14ac:dyDescent="0.3">
      <c r="A26" t="s">
        <v>171</v>
      </c>
      <c r="C26" t="s">
        <v>172</v>
      </c>
      <c r="D26" t="s">
        <v>16</v>
      </c>
      <c r="E26" s="2">
        <v>44464</v>
      </c>
      <c r="G26" t="str">
        <f t="shared" si="0"/>
        <v>Grown Ups</v>
      </c>
      <c r="H26" t="str">
        <f>IF('Cleaned-data'!C26="unknown","Unknown",PROPER(TRIM('Cleaned-data'!C26)))</f>
        <v>Dennis Dugan</v>
      </c>
      <c r="I26" t="str">
        <f t="shared" si="1"/>
        <v>United States</v>
      </c>
      <c r="J26" s="2">
        <v>44464</v>
      </c>
    </row>
    <row r="27" spans="1:10" x14ac:dyDescent="0.3">
      <c r="A27" t="s">
        <v>178</v>
      </c>
      <c r="C27" t="s">
        <v>179</v>
      </c>
      <c r="D27" t="s">
        <v>16</v>
      </c>
      <c r="E27" s="2">
        <v>44465</v>
      </c>
      <c r="G27" t="str">
        <f t="shared" si="0"/>
        <v>Dark Skies</v>
      </c>
      <c r="H27" t="str">
        <f>IF('Cleaned-data'!C27="unknown","Unknown",PROPER(TRIM('Cleaned-data'!C27)))</f>
        <v>Scott Stewart</v>
      </c>
      <c r="I27" t="str">
        <f t="shared" si="1"/>
        <v>United States</v>
      </c>
      <c r="J27" s="2">
        <v>44465</v>
      </c>
    </row>
    <row r="28" spans="1:10" x14ac:dyDescent="0.3">
      <c r="A28" t="s">
        <v>187</v>
      </c>
      <c r="C28" t="s">
        <v>2963</v>
      </c>
      <c r="D28" t="s">
        <v>16</v>
      </c>
      <c r="E28" s="2">
        <v>44466</v>
      </c>
      <c r="G28" t="str">
        <f t="shared" si="0"/>
        <v>Chicago Party Aunt</v>
      </c>
      <c r="H28" t="str">
        <f>IF('Cleaned-data'!C28="unknown","Unknown",PROPER(TRIM('Cleaned-data'!C28)))</f>
        <v>Unknown</v>
      </c>
      <c r="I28" t="str">
        <f t="shared" si="1"/>
        <v>United States</v>
      </c>
      <c r="J28" s="2">
        <v>44466</v>
      </c>
    </row>
    <row r="29" spans="1:10" x14ac:dyDescent="0.3">
      <c r="A29" t="s">
        <v>192</v>
      </c>
      <c r="C29" t="s">
        <v>2963</v>
      </c>
      <c r="D29" t="s">
        <v>16</v>
      </c>
      <c r="E29" s="2">
        <v>44467</v>
      </c>
      <c r="G29" t="str">
        <f t="shared" si="0"/>
        <v>Sex Education</v>
      </c>
      <c r="H29" t="str">
        <f>IF('Cleaned-data'!C29="unknown","Unknown",PROPER(TRIM('Cleaned-data'!C29)))</f>
        <v>Unknown</v>
      </c>
      <c r="I29" t="str">
        <f t="shared" si="1"/>
        <v>United States</v>
      </c>
      <c r="J29" s="2">
        <v>44467</v>
      </c>
    </row>
    <row r="30" spans="1:10" x14ac:dyDescent="0.3">
      <c r="A30" t="s">
        <v>198</v>
      </c>
      <c r="C30" t="s">
        <v>2963</v>
      </c>
      <c r="D30" t="s">
        <v>16</v>
      </c>
      <c r="E30" s="2">
        <v>44468</v>
      </c>
      <c r="G30" t="str">
        <f t="shared" si="0"/>
        <v>Squid Game</v>
      </c>
      <c r="H30" t="str">
        <f>IF('Cleaned-data'!C30="unknown","Unknown",PROPER(TRIM('Cleaned-data'!C30)))</f>
        <v>Unknown</v>
      </c>
      <c r="I30" t="str">
        <f t="shared" si="1"/>
        <v>United States</v>
      </c>
      <c r="J30" s="2">
        <v>44468</v>
      </c>
    </row>
    <row r="31" spans="1:10" x14ac:dyDescent="0.3">
      <c r="A31" t="s">
        <v>203</v>
      </c>
      <c r="C31" t="s">
        <v>2963</v>
      </c>
      <c r="D31" t="s">
        <v>16</v>
      </c>
      <c r="E31" s="2">
        <v>44469</v>
      </c>
      <c r="G31" t="str">
        <f t="shared" si="0"/>
        <v>Tayo and Little Wizards</v>
      </c>
      <c r="H31" t="str">
        <f>IF('Cleaned-data'!C31="unknown","Unknown",PROPER(TRIM('Cleaned-data'!C31)))</f>
        <v>Unknown</v>
      </c>
      <c r="I31" t="str">
        <f t="shared" si="1"/>
        <v>United States</v>
      </c>
      <c r="J31" s="2">
        <v>44469</v>
      </c>
    </row>
    <row r="32" spans="1:10" x14ac:dyDescent="0.3">
      <c r="A32" t="s">
        <v>209</v>
      </c>
      <c r="C32" t="s">
        <v>210</v>
      </c>
      <c r="D32" t="s">
        <v>16</v>
      </c>
      <c r="E32" s="2">
        <v>44470</v>
      </c>
      <c r="G32" t="str">
        <f t="shared" si="0"/>
        <v>The Father Who Moves Mountains</v>
      </c>
      <c r="H32" t="str">
        <f>IF('Cleaned-data'!C32="unknown","Unknown",PROPER(TRIM('Cleaned-data'!C32)))</f>
        <v>Daniel Sandu</v>
      </c>
      <c r="I32" t="str">
        <f t="shared" si="1"/>
        <v>United States</v>
      </c>
      <c r="J32" s="2">
        <v>44470</v>
      </c>
    </row>
    <row r="33" spans="1:10" x14ac:dyDescent="0.3">
      <c r="A33" t="s">
        <v>216</v>
      </c>
      <c r="C33" t="s">
        <v>217</v>
      </c>
      <c r="D33" t="s">
        <v>16</v>
      </c>
      <c r="E33" s="2">
        <v>44471</v>
      </c>
      <c r="G33" t="str">
        <f t="shared" si="0"/>
        <v>The Stronghold</v>
      </c>
      <c r="H33" t="str">
        <f>IF('Cleaned-data'!C33="unknown","Unknown",PROPER(TRIM('Cleaned-data'!C33)))</f>
        <v>Cã©Dric Jimenez</v>
      </c>
      <c r="I33" t="str">
        <f t="shared" si="1"/>
        <v>United States</v>
      </c>
      <c r="J33" s="2">
        <v>44471</v>
      </c>
    </row>
    <row r="34" spans="1:10" x14ac:dyDescent="0.3">
      <c r="A34" t="s">
        <v>223</v>
      </c>
      <c r="C34" t="s">
        <v>2963</v>
      </c>
      <c r="D34" t="s">
        <v>16</v>
      </c>
      <c r="E34" s="2">
        <v>44472</v>
      </c>
      <c r="G34" t="str">
        <f t="shared" si="0"/>
        <v>Angry Birds</v>
      </c>
      <c r="H34" t="str">
        <f>IF('Cleaned-data'!C34="unknown","Unknown",PROPER(TRIM('Cleaned-data'!C34)))</f>
        <v>Unknown</v>
      </c>
      <c r="I34" t="str">
        <f t="shared" si="1"/>
        <v>United States</v>
      </c>
      <c r="J34" s="2">
        <v>44472</v>
      </c>
    </row>
    <row r="35" spans="1:10" x14ac:dyDescent="0.3">
      <c r="A35" t="s">
        <v>228</v>
      </c>
      <c r="C35" t="s">
        <v>229</v>
      </c>
      <c r="D35" t="s">
        <v>16</v>
      </c>
      <c r="E35" s="2">
        <v>44473</v>
      </c>
      <c r="G35" t="str">
        <f t="shared" si="0"/>
        <v>Birth of the Dragon</v>
      </c>
      <c r="H35" t="str">
        <f>IF('Cleaned-data'!C35="unknown","Unknown",PROPER(TRIM('Cleaned-data'!C35)))</f>
        <v>George Nolfi</v>
      </c>
      <c r="I35" t="str">
        <f t="shared" si="1"/>
        <v>United States</v>
      </c>
      <c r="J35" s="2">
        <v>44473</v>
      </c>
    </row>
    <row r="36" spans="1:10" x14ac:dyDescent="0.3">
      <c r="A36" t="s">
        <v>235</v>
      </c>
      <c r="C36" t="s">
        <v>2963</v>
      </c>
      <c r="D36" t="s">
        <v>16</v>
      </c>
      <c r="E36" s="2">
        <v>44474</v>
      </c>
      <c r="G36" t="str">
        <f t="shared" si="0"/>
        <v>He-Man and the Masters of the Universe</v>
      </c>
      <c r="H36" t="str">
        <f>IF('Cleaned-data'!C36="unknown","Unknown",PROPER(TRIM('Cleaned-data'!C36)))</f>
        <v>Unknown</v>
      </c>
      <c r="I36" t="str">
        <f t="shared" si="1"/>
        <v>United States</v>
      </c>
      <c r="J36" s="2">
        <v>44474</v>
      </c>
    </row>
    <row r="37" spans="1:10" x14ac:dyDescent="0.3">
      <c r="A37" t="s">
        <v>240</v>
      </c>
      <c r="C37" t="s">
        <v>241</v>
      </c>
      <c r="D37" t="s">
        <v>16</v>
      </c>
      <c r="E37" s="2">
        <v>44475</v>
      </c>
      <c r="G37" t="str">
        <f t="shared" si="0"/>
        <v>Jaws</v>
      </c>
      <c r="H37" t="str">
        <f>IF('Cleaned-data'!C37="unknown","Unknown",PROPER(TRIM('Cleaned-data'!C37)))</f>
        <v>Steven Spielberg</v>
      </c>
      <c r="I37" t="str">
        <f t="shared" si="1"/>
        <v>United States</v>
      </c>
      <c r="J37" s="2">
        <v>44475</v>
      </c>
    </row>
    <row r="38" spans="1:10" x14ac:dyDescent="0.3">
      <c r="A38" t="s">
        <v>247</v>
      </c>
      <c r="C38" t="s">
        <v>248</v>
      </c>
      <c r="D38" t="s">
        <v>16</v>
      </c>
      <c r="E38" s="2">
        <v>44476</v>
      </c>
      <c r="G38" t="str">
        <f t="shared" si="0"/>
        <v>Jaws 2</v>
      </c>
      <c r="H38" t="str">
        <f>IF('Cleaned-data'!C38="unknown","Unknown",PROPER(TRIM('Cleaned-data'!C38)))</f>
        <v>Jeannot Szwarc</v>
      </c>
      <c r="I38" t="str">
        <f t="shared" si="1"/>
        <v>United States</v>
      </c>
      <c r="J38" s="2">
        <v>44476</v>
      </c>
    </row>
    <row r="39" spans="1:10" x14ac:dyDescent="0.3">
      <c r="A39" t="s">
        <v>254</v>
      </c>
      <c r="C39" t="s">
        <v>255</v>
      </c>
      <c r="D39" t="s">
        <v>16</v>
      </c>
      <c r="E39" s="2">
        <v>44477</v>
      </c>
      <c r="G39" t="str">
        <f t="shared" si="0"/>
        <v>Jaws 3</v>
      </c>
      <c r="H39" t="str">
        <f>IF('Cleaned-data'!C39="unknown","Unknown",PROPER(TRIM('Cleaned-data'!C39)))</f>
        <v>Joe Alves</v>
      </c>
      <c r="I39" t="str">
        <f t="shared" si="1"/>
        <v>United States</v>
      </c>
      <c r="J39" s="2">
        <v>44477</v>
      </c>
    </row>
    <row r="40" spans="1:10" x14ac:dyDescent="0.3">
      <c r="A40" t="s">
        <v>261</v>
      </c>
      <c r="C40" t="s">
        <v>262</v>
      </c>
      <c r="D40" t="s">
        <v>16</v>
      </c>
      <c r="E40" s="2">
        <v>44478</v>
      </c>
      <c r="G40" t="str">
        <f t="shared" si="0"/>
        <v>Safe House</v>
      </c>
      <c r="H40" t="str">
        <f>IF('Cleaned-data'!C40="unknown","Unknown",PROPER(TRIM('Cleaned-data'!C40)))</f>
        <v>Daniel Espinosa</v>
      </c>
      <c r="I40" t="str">
        <f t="shared" si="1"/>
        <v>United States</v>
      </c>
      <c r="J40" s="2">
        <v>44478</v>
      </c>
    </row>
    <row r="41" spans="1:10" x14ac:dyDescent="0.3">
      <c r="A41" t="s">
        <v>269</v>
      </c>
      <c r="C41" t="s">
        <v>270</v>
      </c>
      <c r="D41" t="s">
        <v>16</v>
      </c>
      <c r="E41" s="2">
        <v>44479</v>
      </c>
      <c r="G41" t="str">
        <f t="shared" si="0"/>
        <v>Training Day</v>
      </c>
      <c r="H41" t="str">
        <f>IF('Cleaned-data'!C41="unknown","Unknown",PROPER(TRIM('Cleaned-data'!C41)))</f>
        <v>Antoine Fuqua</v>
      </c>
      <c r="I41" t="str">
        <f t="shared" si="1"/>
        <v>United States</v>
      </c>
      <c r="J41" s="2">
        <v>44479</v>
      </c>
    </row>
    <row r="42" spans="1:10" x14ac:dyDescent="0.3">
      <c r="A42" t="s">
        <v>276</v>
      </c>
      <c r="C42" t="s">
        <v>2963</v>
      </c>
      <c r="D42" t="s">
        <v>16</v>
      </c>
      <c r="E42" s="2">
        <v>44480</v>
      </c>
      <c r="G42" t="str">
        <f t="shared" si="0"/>
        <v>Castle and Castle</v>
      </c>
      <c r="H42" t="str">
        <f>IF('Cleaned-data'!C42="unknown","Unknown",PROPER(TRIM('Cleaned-data'!C42)))</f>
        <v>Unknown</v>
      </c>
      <c r="I42" t="str">
        <f t="shared" si="1"/>
        <v>United States</v>
      </c>
      <c r="J42" s="2">
        <v>44480</v>
      </c>
    </row>
    <row r="43" spans="1:10" x14ac:dyDescent="0.3">
      <c r="A43" t="s">
        <v>281</v>
      </c>
      <c r="C43" t="s">
        <v>2963</v>
      </c>
      <c r="D43" t="s">
        <v>16</v>
      </c>
      <c r="E43" s="2">
        <v>44481</v>
      </c>
      <c r="G43" t="str">
        <f t="shared" si="0"/>
        <v>Dharmakshetra</v>
      </c>
      <c r="H43" t="str">
        <f>IF('Cleaned-data'!C43="unknown","Unknown",PROPER(TRIM('Cleaned-data'!C43)))</f>
        <v>Unknown</v>
      </c>
      <c r="I43" t="str">
        <f t="shared" si="1"/>
        <v>United States</v>
      </c>
      <c r="J43" s="2">
        <v>44481</v>
      </c>
    </row>
    <row r="44" spans="1:10" x14ac:dyDescent="0.3">
      <c r="A44" t="s">
        <v>286</v>
      </c>
      <c r="C44" t="s">
        <v>287</v>
      </c>
      <c r="D44" t="s">
        <v>16</v>
      </c>
      <c r="E44" s="2">
        <v>44482</v>
      </c>
      <c r="G44" t="str">
        <f t="shared" si="0"/>
        <v>InuYasha the Movie 2: The Castle Beyond the Looking Glass</v>
      </c>
      <c r="H44" t="str">
        <f>IF('Cleaned-data'!C44="unknown","Unknown",PROPER(TRIM('Cleaned-data'!C44)))</f>
        <v>Toshiya Shinohara</v>
      </c>
      <c r="I44" t="str">
        <f t="shared" si="1"/>
        <v>United States</v>
      </c>
      <c r="J44" s="2">
        <v>44482</v>
      </c>
    </row>
    <row r="45" spans="1:10" x14ac:dyDescent="0.3">
      <c r="A45" t="s">
        <v>295</v>
      </c>
      <c r="C45" t="s">
        <v>2963</v>
      </c>
      <c r="D45" t="s">
        <v>16</v>
      </c>
      <c r="E45" s="2">
        <v>44483</v>
      </c>
      <c r="G45" t="str">
        <f t="shared" si="0"/>
        <v>Nailed It</v>
      </c>
      <c r="H45" t="str">
        <f>IF('Cleaned-data'!C45="unknown","Unknown",PROPER(TRIM('Cleaned-data'!C45)))</f>
        <v>Unknown</v>
      </c>
      <c r="I45" t="str">
        <f t="shared" si="1"/>
        <v>United States</v>
      </c>
      <c r="J45" s="2">
        <v>44483</v>
      </c>
    </row>
    <row r="46" spans="1:10" x14ac:dyDescent="0.3">
      <c r="A46" t="s">
        <v>306</v>
      </c>
      <c r="C46" t="s">
        <v>2963</v>
      </c>
      <c r="D46" t="s">
        <v>16</v>
      </c>
      <c r="E46" s="2">
        <v>44484</v>
      </c>
      <c r="G46" t="str">
        <f t="shared" si="0"/>
        <v>Raja Rasoi Aur Anya Kahaniyan</v>
      </c>
      <c r="H46" t="str">
        <f>IF('Cleaned-data'!C46="unknown","Unknown",PROPER(TRIM('Cleaned-data'!C46)))</f>
        <v>Unknown</v>
      </c>
      <c r="I46" t="str">
        <f t="shared" si="1"/>
        <v>United States</v>
      </c>
      <c r="J46" s="2">
        <v>44484</v>
      </c>
    </row>
    <row r="47" spans="1:10" x14ac:dyDescent="0.3">
      <c r="A47" t="s">
        <v>311</v>
      </c>
      <c r="C47" t="s">
        <v>312</v>
      </c>
      <c r="D47" t="s">
        <v>16</v>
      </c>
      <c r="E47" s="2">
        <v>44485</v>
      </c>
      <c r="G47" t="str">
        <f t="shared" si="0"/>
        <v>Schumacher</v>
      </c>
      <c r="H47" t="str">
        <f>IF('Cleaned-data'!C47="unknown","Unknown",PROPER(TRIM('Cleaned-data'!C47)))</f>
        <v>Hanns-Bruno Kammertã¶Ns, Vanessa Nã¶Cker, Michael Wech</v>
      </c>
      <c r="I47" t="str">
        <f t="shared" si="1"/>
        <v>United States</v>
      </c>
      <c r="J47" s="2">
        <v>44485</v>
      </c>
    </row>
    <row r="48" spans="1:10" x14ac:dyDescent="0.3">
      <c r="A48" t="s">
        <v>318</v>
      </c>
      <c r="C48" t="s">
        <v>2963</v>
      </c>
      <c r="D48" t="s">
        <v>16</v>
      </c>
      <c r="E48" s="2">
        <v>44486</v>
      </c>
      <c r="G48" t="str">
        <f t="shared" si="0"/>
        <v>Too Hot To Handle: Latino</v>
      </c>
      <c r="H48" t="str">
        <f>IF('Cleaned-data'!C48="unknown","Unknown",PROPER(TRIM('Cleaned-data'!C48)))</f>
        <v>Unknown</v>
      </c>
      <c r="I48" t="str">
        <f t="shared" si="1"/>
        <v>United States</v>
      </c>
      <c r="J48" s="2">
        <v>44486</v>
      </c>
    </row>
    <row r="49" spans="1:10" x14ac:dyDescent="0.3">
      <c r="A49" t="s">
        <v>323</v>
      </c>
      <c r="C49" t="s">
        <v>2963</v>
      </c>
      <c r="D49" t="s">
        <v>16</v>
      </c>
      <c r="E49" s="2">
        <v>44487</v>
      </c>
      <c r="G49" t="str">
        <f t="shared" si="0"/>
        <v>Jack Whitehall: Travels with My Father</v>
      </c>
      <c r="H49" t="str">
        <f>IF('Cleaned-data'!C49="unknown","Unknown",PROPER(TRIM('Cleaned-data'!C49)))</f>
        <v>Unknown</v>
      </c>
      <c r="I49" t="str">
        <f t="shared" si="1"/>
        <v>United States</v>
      </c>
      <c r="J49" s="2">
        <v>44487</v>
      </c>
    </row>
    <row r="50" spans="1:10" x14ac:dyDescent="0.3">
      <c r="A50" t="s">
        <v>329</v>
      </c>
      <c r="C50" t="s">
        <v>2963</v>
      </c>
      <c r="D50" t="s">
        <v>16</v>
      </c>
      <c r="E50" s="2">
        <v>44488</v>
      </c>
      <c r="G50" t="str">
        <f t="shared" si="0"/>
        <v>Yowamushi Pedal</v>
      </c>
      <c r="H50" t="str">
        <f>IF('Cleaned-data'!C50="unknown","Unknown",PROPER(TRIM('Cleaned-data'!C50)))</f>
        <v>Unknown</v>
      </c>
      <c r="I50" t="str">
        <f t="shared" si="1"/>
        <v>United States</v>
      </c>
      <c r="J50" s="2">
        <v>44488</v>
      </c>
    </row>
    <row r="51" spans="1:10" x14ac:dyDescent="0.3">
      <c r="A51" t="s">
        <v>334</v>
      </c>
      <c r="C51" t="s">
        <v>335</v>
      </c>
      <c r="D51" t="s">
        <v>16</v>
      </c>
      <c r="E51" s="2">
        <v>44489</v>
      </c>
      <c r="G51" t="str">
        <f t="shared" si="0"/>
        <v>Tughlaq Durbar</v>
      </c>
      <c r="H51" t="str">
        <f>IF('Cleaned-data'!C51="unknown","Unknown",PROPER(TRIM('Cleaned-data'!C51)))</f>
        <v>Delhiprasad Deenadayalan</v>
      </c>
      <c r="I51" t="str">
        <f t="shared" si="1"/>
        <v>United States</v>
      </c>
      <c r="J51" s="2">
        <v>44489</v>
      </c>
    </row>
    <row r="52" spans="1:10" x14ac:dyDescent="0.3">
      <c r="A52" t="s">
        <v>341</v>
      </c>
      <c r="C52" t="s">
        <v>2963</v>
      </c>
      <c r="D52" t="s">
        <v>16</v>
      </c>
      <c r="E52" s="2">
        <v>44490</v>
      </c>
      <c r="G52" t="str">
        <f t="shared" si="0"/>
        <v>Lucifer</v>
      </c>
      <c r="H52" t="str">
        <f>IF('Cleaned-data'!C52="unknown","Unknown",PROPER(TRIM('Cleaned-data'!C52)))</f>
        <v>Unknown</v>
      </c>
      <c r="I52" t="str">
        <f t="shared" si="1"/>
        <v>United States</v>
      </c>
      <c r="J52" s="2">
        <v>44490</v>
      </c>
    </row>
    <row r="53" spans="1:10" x14ac:dyDescent="0.3">
      <c r="A53" t="s">
        <v>346</v>
      </c>
      <c r="C53" t="s">
        <v>347</v>
      </c>
      <c r="D53" t="s">
        <v>16</v>
      </c>
      <c r="E53" s="2">
        <v>44491</v>
      </c>
      <c r="G53" t="str">
        <f t="shared" si="0"/>
        <v>Omo Ghetto: the Saga</v>
      </c>
      <c r="H53" t="str">
        <f>IF('Cleaned-data'!C53="unknown","Unknown",PROPER(TRIM('Cleaned-data'!C53)))</f>
        <v>Jjc Skillz, Funke Akindele</v>
      </c>
      <c r="I53" t="str">
        <f t="shared" si="1"/>
        <v>United States</v>
      </c>
      <c r="J53" s="2">
        <v>44491</v>
      </c>
    </row>
    <row r="54" spans="1:10" x14ac:dyDescent="0.3">
      <c r="A54" t="s">
        <v>352</v>
      </c>
      <c r="C54" t="s">
        <v>2963</v>
      </c>
      <c r="D54" t="s">
        <v>16</v>
      </c>
      <c r="E54" s="2">
        <v>44492</v>
      </c>
      <c r="G54" t="str">
        <f t="shared" si="0"/>
        <v>PokÃ©mon Master Journeys: The Series</v>
      </c>
      <c r="H54" t="str">
        <f>IF('Cleaned-data'!C54="unknown","Unknown",PROPER(TRIM('Cleaned-data'!C54)))</f>
        <v>Unknown</v>
      </c>
      <c r="I54" t="str">
        <f t="shared" si="1"/>
        <v>United States</v>
      </c>
      <c r="J54" s="2">
        <v>44492</v>
      </c>
    </row>
    <row r="55" spans="1:10" x14ac:dyDescent="0.3">
      <c r="A55" t="s">
        <v>357</v>
      </c>
      <c r="C55" t="s">
        <v>358</v>
      </c>
      <c r="D55" t="s">
        <v>16</v>
      </c>
      <c r="E55" s="2">
        <v>44493</v>
      </c>
      <c r="G55" t="str">
        <f t="shared" si="0"/>
        <v>Prey</v>
      </c>
      <c r="H55" t="str">
        <f>IF('Cleaned-data'!C55="unknown","Unknown",PROPER(TRIM('Cleaned-data'!C55)))</f>
        <v>Thomas Sieben</v>
      </c>
      <c r="I55" t="str">
        <f t="shared" si="1"/>
        <v>United States</v>
      </c>
      <c r="J55" s="2">
        <v>44493</v>
      </c>
    </row>
    <row r="56" spans="1:10" x14ac:dyDescent="0.3">
      <c r="A56" t="s">
        <v>364</v>
      </c>
      <c r="C56" t="s">
        <v>2963</v>
      </c>
      <c r="D56" t="s">
        <v>16</v>
      </c>
      <c r="E56" s="2">
        <v>44494</v>
      </c>
      <c r="G56" t="str">
        <f t="shared" si="0"/>
        <v>Titipo Titipo</v>
      </c>
      <c r="H56" t="str">
        <f>IF('Cleaned-data'!C56="unknown","Unknown",PROPER(TRIM('Cleaned-data'!C56)))</f>
        <v>Unknown</v>
      </c>
      <c r="I56" t="str">
        <f t="shared" si="1"/>
        <v>United States</v>
      </c>
      <c r="J56" s="2">
        <v>44494</v>
      </c>
    </row>
    <row r="57" spans="1:10" x14ac:dyDescent="0.3">
      <c r="A57" t="s">
        <v>369</v>
      </c>
      <c r="C57" t="s">
        <v>370</v>
      </c>
      <c r="D57" t="s">
        <v>16</v>
      </c>
      <c r="E57" s="2">
        <v>44495</v>
      </c>
      <c r="G57" t="str">
        <f t="shared" si="0"/>
        <v>Blood Brothers: Malcolm X &amp; Muhammad Ali</v>
      </c>
      <c r="H57" t="str">
        <f>IF('Cleaned-data'!C57="unknown","Unknown",PROPER(TRIM('Cleaned-data'!C57)))</f>
        <v>Marcus Clarke</v>
      </c>
      <c r="I57" t="str">
        <f t="shared" si="1"/>
        <v>United States</v>
      </c>
      <c r="J57" s="2">
        <v>44495</v>
      </c>
    </row>
    <row r="58" spans="1:10" x14ac:dyDescent="0.3">
      <c r="A58" t="s">
        <v>375</v>
      </c>
      <c r="C58" t="s">
        <v>376</v>
      </c>
      <c r="D58" t="s">
        <v>16</v>
      </c>
      <c r="E58" s="2">
        <v>44496</v>
      </c>
      <c r="G58" t="str">
        <f t="shared" si="0"/>
        <v>Paradise Hills</v>
      </c>
      <c r="H58" t="str">
        <f>IF('Cleaned-data'!C58="unknown","Unknown",PROPER(TRIM('Cleaned-data'!C58)))</f>
        <v>Alice Waddington</v>
      </c>
      <c r="I58" t="str">
        <f t="shared" si="1"/>
        <v>United States</v>
      </c>
      <c r="J58" s="2">
        <v>44496</v>
      </c>
    </row>
    <row r="59" spans="1:10" x14ac:dyDescent="0.3">
      <c r="A59" t="s">
        <v>382</v>
      </c>
      <c r="C59" t="s">
        <v>383</v>
      </c>
      <c r="D59" t="s">
        <v>16</v>
      </c>
      <c r="E59" s="2">
        <v>44497</v>
      </c>
      <c r="G59" t="str">
        <f t="shared" si="0"/>
        <v>JJ+E</v>
      </c>
      <c r="H59" t="str">
        <f>IF('Cleaned-data'!C59="unknown","Unknown",PROPER(TRIM('Cleaned-data'!C59)))</f>
        <v>Alexis Almstrã¶M</v>
      </c>
      <c r="I59" t="str">
        <f t="shared" si="1"/>
        <v>United States</v>
      </c>
      <c r="J59" s="2">
        <v>44497</v>
      </c>
    </row>
    <row r="60" spans="1:10" x14ac:dyDescent="0.3">
      <c r="A60" t="s">
        <v>388</v>
      </c>
      <c r="C60" t="s">
        <v>389</v>
      </c>
      <c r="D60" t="s">
        <v>16</v>
      </c>
      <c r="E60" s="2">
        <v>44498</v>
      </c>
      <c r="G60" t="str">
        <f t="shared" si="0"/>
        <v>If I Leave Here Tomorrow: A Film About Lynyrd Skynyrd</v>
      </c>
      <c r="H60" t="str">
        <f>IF('Cleaned-data'!C60="unknown","Unknown",PROPER(TRIM('Cleaned-data'!C60)))</f>
        <v>Stephen Kijak</v>
      </c>
      <c r="I60" t="str">
        <f t="shared" si="1"/>
        <v>United States</v>
      </c>
      <c r="J60" s="2">
        <v>44498</v>
      </c>
    </row>
    <row r="61" spans="1:10" x14ac:dyDescent="0.3">
      <c r="A61" t="s">
        <v>394</v>
      </c>
      <c r="C61" t="s">
        <v>2963</v>
      </c>
      <c r="D61" t="s">
        <v>16</v>
      </c>
      <c r="E61" s="2">
        <v>44499</v>
      </c>
      <c r="G61" t="str">
        <f t="shared" si="0"/>
        <v>Kid Cosmic</v>
      </c>
      <c r="H61" t="str">
        <f>IF('Cleaned-data'!C61="unknown","Unknown",PROPER(TRIM('Cleaned-data'!C61)))</f>
        <v>Unknown</v>
      </c>
      <c r="I61" t="str">
        <f t="shared" si="1"/>
        <v>United States</v>
      </c>
      <c r="J61" s="2">
        <v>44499</v>
      </c>
    </row>
    <row r="62" spans="1:10" x14ac:dyDescent="0.3">
      <c r="A62" t="s">
        <v>399</v>
      </c>
      <c r="C62" t="s">
        <v>2963</v>
      </c>
      <c r="D62" t="s">
        <v>16</v>
      </c>
      <c r="E62" s="2">
        <v>44500</v>
      </c>
      <c r="G62" t="str">
        <f t="shared" si="0"/>
        <v>Octonauts: Above &amp; Beyond</v>
      </c>
      <c r="H62" t="str">
        <f>IF('Cleaned-data'!C62="unknown","Unknown",PROPER(TRIM('Cleaned-data'!C62)))</f>
        <v>Unknown</v>
      </c>
      <c r="I62" t="str">
        <f t="shared" si="1"/>
        <v>United States</v>
      </c>
      <c r="J62" s="2">
        <v>44500</v>
      </c>
    </row>
    <row r="63" spans="1:10" x14ac:dyDescent="0.3">
      <c r="A63" t="s">
        <v>404</v>
      </c>
      <c r="C63" t="s">
        <v>405</v>
      </c>
      <c r="D63" t="s">
        <v>16</v>
      </c>
      <c r="E63" s="2">
        <v>44501</v>
      </c>
      <c r="G63" t="str">
        <f t="shared" si="0"/>
        <v>Countdown: Inspiration4 Mission to Space</v>
      </c>
      <c r="H63" t="str">
        <f>IF('Cleaned-data'!C63="unknown","Unknown",PROPER(TRIM('Cleaned-data'!C63)))</f>
        <v>Jason Hehir</v>
      </c>
      <c r="I63" t="str">
        <f t="shared" si="1"/>
        <v>United States</v>
      </c>
      <c r="J63" s="2">
        <v>44501</v>
      </c>
    </row>
    <row r="64" spans="1:10" x14ac:dyDescent="0.3">
      <c r="A64" t="s">
        <v>411</v>
      </c>
      <c r="C64" t="s">
        <v>412</v>
      </c>
      <c r="D64" t="s">
        <v>16</v>
      </c>
      <c r="E64" s="2">
        <v>44502</v>
      </c>
      <c r="G64" t="str">
        <f t="shared" si="0"/>
        <v>A Champion Heart</v>
      </c>
      <c r="H64" t="str">
        <f>IF('Cleaned-data'!C64="unknown","Unknown",PROPER(TRIM('Cleaned-data'!C64)))</f>
        <v>David De Vos</v>
      </c>
      <c r="I64" t="str">
        <f t="shared" si="1"/>
        <v>United States</v>
      </c>
      <c r="J64" s="2">
        <v>44502</v>
      </c>
    </row>
    <row r="65" spans="1:10" x14ac:dyDescent="0.3">
      <c r="A65" t="s">
        <v>418</v>
      </c>
      <c r="C65" t="s">
        <v>2963</v>
      </c>
      <c r="D65" t="s">
        <v>16</v>
      </c>
      <c r="E65" s="2">
        <v>44503</v>
      </c>
      <c r="G65" t="str">
        <f t="shared" si="0"/>
        <v>Dive Club</v>
      </c>
      <c r="H65" t="str">
        <f>IF('Cleaned-data'!C65="unknown","Unknown",PROPER(TRIM('Cleaned-data'!C65)))</f>
        <v>Unknown</v>
      </c>
      <c r="I65" t="str">
        <f t="shared" si="1"/>
        <v>United States</v>
      </c>
      <c r="J65" s="2">
        <v>44503</v>
      </c>
    </row>
    <row r="66" spans="1:10" x14ac:dyDescent="0.3">
      <c r="A66" t="s">
        <v>423</v>
      </c>
      <c r="C66" t="s">
        <v>2963</v>
      </c>
      <c r="D66" t="s">
        <v>16</v>
      </c>
      <c r="E66" s="2">
        <v>44504</v>
      </c>
      <c r="G66" t="str">
        <f t="shared" si="0"/>
        <v>La casa de papel</v>
      </c>
      <c r="H66" t="str">
        <f>IF('Cleaned-data'!C66="unknown","Unknown",PROPER(TRIM('Cleaned-data'!C66)))</f>
        <v>Unknown</v>
      </c>
      <c r="I66" t="str">
        <f t="shared" si="1"/>
        <v>United States</v>
      </c>
      <c r="J66" s="2">
        <v>44504</v>
      </c>
    </row>
    <row r="67" spans="1:10" x14ac:dyDescent="0.3">
      <c r="A67" t="s">
        <v>428</v>
      </c>
      <c r="C67" t="s">
        <v>429</v>
      </c>
      <c r="D67" t="s">
        <v>16</v>
      </c>
      <c r="E67" s="2">
        <v>44505</v>
      </c>
      <c r="G67" t="str">
        <f t="shared" ref="G67:G130" si="2">TRIM(A67)</f>
        <v>Money Heist: From Tokyo to Berlin</v>
      </c>
      <c r="H67" t="str">
        <f>IF('Cleaned-data'!C67="unknown","Unknown",PROPER(TRIM('Cleaned-data'!C67)))</f>
        <v>Luis Alfaro, Javier Gã³Mez Santander</v>
      </c>
      <c r="I67" t="str">
        <f t="shared" ref="I67:I130" si="3">TRIM(D67)</f>
        <v>United States</v>
      </c>
      <c r="J67" s="2">
        <v>44505</v>
      </c>
    </row>
    <row r="68" spans="1:10" x14ac:dyDescent="0.3">
      <c r="A68" t="s">
        <v>433</v>
      </c>
      <c r="C68" t="s">
        <v>434</v>
      </c>
      <c r="D68" t="s">
        <v>16</v>
      </c>
      <c r="E68" s="2">
        <v>44506</v>
      </c>
      <c r="G68" t="str">
        <f t="shared" si="2"/>
        <v>Worth</v>
      </c>
      <c r="H68" t="str">
        <f>IF('Cleaned-data'!C68="unknown","Unknown",PROPER(TRIM('Cleaned-data'!C68)))</f>
        <v>Sara Colangelo</v>
      </c>
      <c r="I68" t="str">
        <f t="shared" si="3"/>
        <v>United States</v>
      </c>
      <c r="J68" s="2">
        <v>44506</v>
      </c>
    </row>
    <row r="69" spans="1:10" x14ac:dyDescent="0.3">
      <c r="A69" t="s">
        <v>440</v>
      </c>
      <c r="C69" t="s">
        <v>441</v>
      </c>
      <c r="D69" t="s">
        <v>16</v>
      </c>
      <c r="E69" s="2">
        <v>44507</v>
      </c>
      <c r="G69" t="str">
        <f t="shared" si="2"/>
        <v>Afterlife of the Party</v>
      </c>
      <c r="H69" t="str">
        <f>IF('Cleaned-data'!C69="unknown","Unknown",PROPER(TRIM('Cleaned-data'!C69)))</f>
        <v>Stephen Herek</v>
      </c>
      <c r="I69" t="str">
        <f t="shared" si="3"/>
        <v>United States</v>
      </c>
      <c r="J69" s="2">
        <v>44507</v>
      </c>
    </row>
    <row r="70" spans="1:10" x14ac:dyDescent="0.3">
      <c r="A70" t="s">
        <v>446</v>
      </c>
      <c r="C70" t="s">
        <v>447</v>
      </c>
      <c r="D70" t="s">
        <v>16</v>
      </c>
      <c r="E70" s="2">
        <v>44508</v>
      </c>
      <c r="G70" t="str">
        <f t="shared" si="2"/>
        <v>Bright Star</v>
      </c>
      <c r="H70" t="str">
        <f>IF('Cleaned-data'!C70="unknown","Unknown",PROPER(TRIM('Cleaned-data'!C70)))</f>
        <v>Jane Campion</v>
      </c>
      <c r="I70" t="str">
        <f t="shared" si="3"/>
        <v>United States</v>
      </c>
      <c r="J70" s="2">
        <v>44508</v>
      </c>
    </row>
    <row r="71" spans="1:10" x14ac:dyDescent="0.3">
      <c r="A71" t="s">
        <v>452</v>
      </c>
      <c r="C71" t="s">
        <v>453</v>
      </c>
      <c r="D71" t="s">
        <v>16</v>
      </c>
      <c r="E71" s="2">
        <v>44509</v>
      </c>
      <c r="G71" t="str">
        <f t="shared" si="2"/>
        <v>Dhanak</v>
      </c>
      <c r="H71" t="str">
        <f>IF('Cleaned-data'!C71="unknown","Unknown",PROPER(TRIM('Cleaned-data'!C71)))</f>
        <v>Nagesh Kukunoor</v>
      </c>
      <c r="I71" t="str">
        <f t="shared" si="3"/>
        <v>United States</v>
      </c>
      <c r="J71" s="2">
        <v>44509</v>
      </c>
    </row>
    <row r="72" spans="1:10" x14ac:dyDescent="0.3">
      <c r="A72" t="s">
        <v>460</v>
      </c>
      <c r="C72" t="s">
        <v>2963</v>
      </c>
      <c r="D72" t="s">
        <v>16</v>
      </c>
      <c r="E72" s="2">
        <v>44510</v>
      </c>
      <c r="G72" t="str">
        <f t="shared" si="2"/>
        <v>Q-Force</v>
      </c>
      <c r="H72" t="str">
        <f>IF('Cleaned-data'!C72="unknown","Unknown",PROPER(TRIM('Cleaned-data'!C72)))</f>
        <v>Unknown</v>
      </c>
      <c r="I72" t="str">
        <f t="shared" si="3"/>
        <v>United States</v>
      </c>
      <c r="J72" s="2">
        <v>44510</v>
      </c>
    </row>
    <row r="73" spans="1:10" x14ac:dyDescent="0.3">
      <c r="A73" t="s">
        <v>466</v>
      </c>
      <c r="C73" t="s">
        <v>467</v>
      </c>
      <c r="D73" t="s">
        <v>16</v>
      </c>
      <c r="E73" s="2">
        <v>44511</v>
      </c>
      <c r="G73" t="str">
        <f t="shared" si="2"/>
        <v>Barbie Big City Big Dreams</v>
      </c>
      <c r="H73" t="str">
        <f>IF('Cleaned-data'!C73="unknown","Unknown",PROPER(TRIM('Cleaned-data'!C73)))</f>
        <v>Scott Pleydell-Pearce</v>
      </c>
      <c r="I73" t="str">
        <f t="shared" si="3"/>
        <v>United States</v>
      </c>
      <c r="J73" s="2">
        <v>44511</v>
      </c>
    </row>
    <row r="74" spans="1:10" x14ac:dyDescent="0.3">
      <c r="A74" t="s">
        <v>473</v>
      </c>
      <c r="C74" t="s">
        <v>474</v>
      </c>
      <c r="D74" t="s">
        <v>16</v>
      </c>
      <c r="E74" s="2">
        <v>44512</v>
      </c>
      <c r="G74" t="str">
        <f t="shared" si="2"/>
        <v>Blade Runner: The Final Cut</v>
      </c>
      <c r="H74" t="str">
        <f>IF('Cleaned-data'!C74="unknown","Unknown",PROPER(TRIM('Cleaned-data'!C74)))</f>
        <v>Ridley Scott</v>
      </c>
      <c r="I74" t="str">
        <f t="shared" si="3"/>
        <v>United States</v>
      </c>
      <c r="J74" s="2">
        <v>44512</v>
      </c>
    </row>
    <row r="75" spans="1:10" x14ac:dyDescent="0.3">
      <c r="A75" t="s">
        <v>479</v>
      </c>
      <c r="C75" t="s">
        <v>2963</v>
      </c>
      <c r="D75" t="s">
        <v>16</v>
      </c>
      <c r="E75" s="2">
        <v>44513</v>
      </c>
      <c r="G75" t="str">
        <f t="shared" si="2"/>
        <v>Brave Animated Series</v>
      </c>
      <c r="H75" t="str">
        <f>IF('Cleaned-data'!C75="unknown","Unknown",PROPER(TRIM('Cleaned-data'!C75)))</f>
        <v>Unknown</v>
      </c>
      <c r="I75" t="str">
        <f t="shared" si="3"/>
        <v>United States</v>
      </c>
      <c r="J75" s="2">
        <v>44513</v>
      </c>
    </row>
    <row r="76" spans="1:10" x14ac:dyDescent="0.3">
      <c r="A76" t="s">
        <v>484</v>
      </c>
      <c r="C76" t="s">
        <v>485</v>
      </c>
      <c r="D76" t="s">
        <v>16</v>
      </c>
      <c r="E76" s="2">
        <v>44514</v>
      </c>
      <c r="G76" t="str">
        <f t="shared" si="2"/>
        <v>Chappie</v>
      </c>
      <c r="H76" t="str">
        <f>IF('Cleaned-data'!C76="unknown","Unknown",PROPER(TRIM('Cleaned-data'!C76)))</f>
        <v>Neill Blomkamp</v>
      </c>
      <c r="I76" t="str">
        <f t="shared" si="3"/>
        <v>United States</v>
      </c>
      <c r="J76" s="2">
        <v>44514</v>
      </c>
    </row>
    <row r="77" spans="1:10" x14ac:dyDescent="0.3">
      <c r="A77" t="s">
        <v>492</v>
      </c>
      <c r="C77" t="s">
        <v>493</v>
      </c>
      <c r="D77" t="s">
        <v>16</v>
      </c>
      <c r="E77" s="2">
        <v>44515</v>
      </c>
      <c r="G77" t="str">
        <f t="shared" si="2"/>
        <v>Crocodile Dundee in Los Angeles</v>
      </c>
      <c r="H77" t="str">
        <f>IF('Cleaned-data'!C77="unknown","Unknown",PROPER(TRIM('Cleaned-data'!C77)))</f>
        <v>Simon Wincer</v>
      </c>
      <c r="I77" t="str">
        <f t="shared" si="3"/>
        <v>United States</v>
      </c>
      <c r="J77" s="2">
        <v>44515</v>
      </c>
    </row>
    <row r="78" spans="1:10" x14ac:dyDescent="0.3">
      <c r="A78" t="s">
        <v>498</v>
      </c>
      <c r="C78" t="s">
        <v>499</v>
      </c>
      <c r="D78" t="s">
        <v>16</v>
      </c>
      <c r="E78" s="2">
        <v>44516</v>
      </c>
      <c r="G78" t="str">
        <f t="shared" si="2"/>
        <v>Do the Right Thing</v>
      </c>
      <c r="H78" t="str">
        <f>IF('Cleaned-data'!C78="unknown","Unknown",PROPER(TRIM('Cleaned-data'!C78)))</f>
        <v>Spike Lee</v>
      </c>
      <c r="I78" t="str">
        <f t="shared" si="3"/>
        <v>United States</v>
      </c>
      <c r="J78" s="2">
        <v>44516</v>
      </c>
    </row>
    <row r="79" spans="1:10" x14ac:dyDescent="0.3">
      <c r="A79" t="s">
        <v>505</v>
      </c>
      <c r="C79" t="s">
        <v>506</v>
      </c>
      <c r="D79" t="s">
        <v>16</v>
      </c>
      <c r="E79" s="2">
        <v>44517</v>
      </c>
      <c r="G79" t="str">
        <f t="shared" si="2"/>
        <v>House Party</v>
      </c>
      <c r="H79" t="str">
        <f>IF('Cleaned-data'!C79="unknown","Unknown",PROPER(TRIM('Cleaned-data'!C79)))</f>
        <v>Reginald Hudlin</v>
      </c>
      <c r="I79" t="str">
        <f t="shared" si="3"/>
        <v>United States</v>
      </c>
      <c r="J79" s="2">
        <v>44517</v>
      </c>
    </row>
    <row r="80" spans="1:10" x14ac:dyDescent="0.3">
      <c r="A80" t="s">
        <v>511</v>
      </c>
      <c r="C80" t="s">
        <v>512</v>
      </c>
      <c r="D80" t="s">
        <v>16</v>
      </c>
      <c r="E80" s="2">
        <v>44518</v>
      </c>
      <c r="G80" t="str">
        <f t="shared" si="2"/>
        <v>House Party 2</v>
      </c>
      <c r="H80" t="str">
        <f>IF('Cleaned-data'!C80="unknown","Unknown",PROPER(TRIM('Cleaned-data'!C80)))</f>
        <v>George Jackson, Doug Mchenry</v>
      </c>
      <c r="I80" t="str">
        <f t="shared" si="3"/>
        <v>United States</v>
      </c>
      <c r="J80" s="2">
        <v>44518</v>
      </c>
    </row>
    <row r="81" spans="1:10" x14ac:dyDescent="0.3">
      <c r="A81" t="s">
        <v>517</v>
      </c>
      <c r="C81" t="s">
        <v>518</v>
      </c>
      <c r="D81" t="s">
        <v>16</v>
      </c>
      <c r="E81" s="2">
        <v>44519</v>
      </c>
      <c r="G81" t="str">
        <f t="shared" si="2"/>
        <v>House Party 3</v>
      </c>
      <c r="H81" t="str">
        <f>IF('Cleaned-data'!C81="unknown","Unknown",PROPER(TRIM('Cleaned-data'!C81)))</f>
        <v>Eric Meza</v>
      </c>
      <c r="I81" t="str">
        <f t="shared" si="3"/>
        <v>United States</v>
      </c>
      <c r="J81" s="2">
        <v>44519</v>
      </c>
    </row>
    <row r="82" spans="1:10" x14ac:dyDescent="0.3">
      <c r="A82" t="s">
        <v>523</v>
      </c>
      <c r="C82" t="s">
        <v>524</v>
      </c>
      <c r="D82" t="s">
        <v>16</v>
      </c>
      <c r="E82" s="2">
        <v>44520</v>
      </c>
      <c r="G82" t="str">
        <f t="shared" si="2"/>
        <v>HQ Barbers</v>
      </c>
      <c r="H82" t="str">
        <f>IF('Cleaned-data'!C82="unknown","Unknown",PROPER(TRIM('Cleaned-data'!C82)))</f>
        <v>Gerhard Mostert</v>
      </c>
      <c r="I82" t="str">
        <f t="shared" si="3"/>
        <v>United States</v>
      </c>
      <c r="J82" s="2">
        <v>44520</v>
      </c>
    </row>
    <row r="83" spans="1:10" x14ac:dyDescent="0.3">
      <c r="A83" t="s">
        <v>529</v>
      </c>
      <c r="C83" t="s">
        <v>530</v>
      </c>
      <c r="D83" t="s">
        <v>16</v>
      </c>
      <c r="E83" s="2">
        <v>44521</v>
      </c>
      <c r="G83" t="str">
        <f t="shared" si="2"/>
        <v>Initial D</v>
      </c>
      <c r="H83" t="str">
        <f>IF('Cleaned-data'!C83="unknown","Unknown",PROPER(TRIM('Cleaned-data'!C83)))</f>
        <v>Andrew Lau Wai-Keung, Alan Mak</v>
      </c>
      <c r="I83" t="str">
        <f t="shared" si="3"/>
        <v>United States</v>
      </c>
      <c r="J83" s="2">
        <v>44521</v>
      </c>
    </row>
    <row r="84" spans="1:10" x14ac:dyDescent="0.3">
      <c r="A84" t="s">
        <v>536</v>
      </c>
      <c r="C84" t="s">
        <v>2963</v>
      </c>
      <c r="D84" t="s">
        <v>16</v>
      </c>
      <c r="E84" s="2">
        <v>44522</v>
      </c>
      <c r="G84" t="str">
        <f t="shared" si="2"/>
        <v>Kuroko's Basketball</v>
      </c>
      <c r="H84" t="str">
        <f>IF('Cleaned-data'!C84="unknown","Unknown",PROPER(TRIM('Cleaned-data'!C84)))</f>
        <v>Unknown</v>
      </c>
      <c r="I84" t="str">
        <f t="shared" si="3"/>
        <v>United States</v>
      </c>
      <c r="J84" s="2">
        <v>44522</v>
      </c>
    </row>
    <row r="85" spans="1:10" x14ac:dyDescent="0.3">
      <c r="A85" t="s">
        <v>541</v>
      </c>
      <c r="C85" t="s">
        <v>542</v>
      </c>
      <c r="D85" t="s">
        <v>16</v>
      </c>
      <c r="E85" s="2">
        <v>44523</v>
      </c>
      <c r="G85" t="str">
        <f t="shared" si="2"/>
        <v>Labyrinth</v>
      </c>
      <c r="H85" t="str">
        <f>IF('Cleaned-data'!C85="unknown","Unknown",PROPER(TRIM('Cleaned-data'!C85)))</f>
        <v>Jim Henson</v>
      </c>
      <c r="I85" t="str">
        <f t="shared" si="3"/>
        <v>United States</v>
      </c>
      <c r="J85" s="2">
        <v>44523</v>
      </c>
    </row>
    <row r="86" spans="1:10" x14ac:dyDescent="0.3">
      <c r="A86" t="s">
        <v>548</v>
      </c>
      <c r="C86" t="s">
        <v>549</v>
      </c>
      <c r="D86" t="s">
        <v>16</v>
      </c>
      <c r="E86" s="2">
        <v>44524</v>
      </c>
      <c r="G86" t="str">
        <f t="shared" si="2"/>
        <v>Letters to Juliet</v>
      </c>
      <c r="H86" t="str">
        <f>IF('Cleaned-data'!C86="unknown","Unknown",PROPER(TRIM('Cleaned-data'!C86)))</f>
        <v>Gary Winick</v>
      </c>
      <c r="I86" t="str">
        <f t="shared" si="3"/>
        <v>United States</v>
      </c>
      <c r="J86" s="2">
        <v>44524</v>
      </c>
    </row>
    <row r="87" spans="1:10" x14ac:dyDescent="0.3">
      <c r="A87" t="s">
        <v>554</v>
      </c>
      <c r="C87" t="s">
        <v>555</v>
      </c>
      <c r="D87" t="s">
        <v>16</v>
      </c>
      <c r="E87" s="2">
        <v>44525</v>
      </c>
      <c r="G87" t="str">
        <f t="shared" si="2"/>
        <v>Mars Attacks!</v>
      </c>
      <c r="H87" t="str">
        <f>IF('Cleaned-data'!C87="unknown","Unknown",PROPER(TRIM('Cleaned-data'!C87)))</f>
        <v>Tim Burton</v>
      </c>
      <c r="I87" t="str">
        <f t="shared" si="3"/>
        <v>United States</v>
      </c>
      <c r="J87" s="2">
        <v>44525</v>
      </c>
    </row>
    <row r="88" spans="1:10" x14ac:dyDescent="0.3">
      <c r="A88" t="s">
        <v>561</v>
      </c>
      <c r="C88" t="s">
        <v>562</v>
      </c>
      <c r="D88" t="s">
        <v>16</v>
      </c>
      <c r="E88" s="2">
        <v>44526</v>
      </c>
      <c r="G88" t="str">
        <f t="shared" si="2"/>
        <v>Once Upon a Time in America</v>
      </c>
      <c r="H88" t="str">
        <f>IF('Cleaned-data'!C88="unknown","Unknown",PROPER(TRIM('Cleaned-data'!C88)))</f>
        <v>Sergio Leone</v>
      </c>
      <c r="I88" t="str">
        <f t="shared" si="3"/>
        <v>United States</v>
      </c>
      <c r="J88" s="2">
        <v>44526</v>
      </c>
    </row>
    <row r="89" spans="1:10" x14ac:dyDescent="0.3">
      <c r="A89" t="s">
        <v>568</v>
      </c>
      <c r="C89" t="s">
        <v>569</v>
      </c>
      <c r="D89" t="s">
        <v>16</v>
      </c>
      <c r="E89" s="2">
        <v>44527</v>
      </c>
      <c r="G89" t="str">
        <f t="shared" si="2"/>
        <v>Osmosis Jones</v>
      </c>
      <c r="H89" t="str">
        <f>IF('Cleaned-data'!C89="unknown","Unknown",PROPER(TRIM('Cleaned-data'!C89)))</f>
        <v>Bobby Farrelly, Peter Farrelly</v>
      </c>
      <c r="I89" t="str">
        <f t="shared" si="3"/>
        <v>United States</v>
      </c>
      <c r="J89" s="2">
        <v>44527</v>
      </c>
    </row>
    <row r="90" spans="1:10" x14ac:dyDescent="0.3">
      <c r="A90" t="s">
        <v>575</v>
      </c>
      <c r="C90" t="s">
        <v>576</v>
      </c>
      <c r="D90" t="s">
        <v>16</v>
      </c>
      <c r="E90" s="2">
        <v>44528</v>
      </c>
      <c r="G90" t="str">
        <f t="shared" si="2"/>
        <v>Same Kind of Different as Me</v>
      </c>
      <c r="H90" t="str">
        <f>IF('Cleaned-data'!C90="unknown","Unknown",PROPER(TRIM('Cleaned-data'!C90)))</f>
        <v>Michael Carney</v>
      </c>
      <c r="I90" t="str">
        <f t="shared" si="3"/>
        <v>United States</v>
      </c>
      <c r="J90" s="2">
        <v>44528</v>
      </c>
    </row>
    <row r="91" spans="1:10" x14ac:dyDescent="0.3">
      <c r="A91" t="s">
        <v>581</v>
      </c>
      <c r="C91" t="s">
        <v>582</v>
      </c>
      <c r="D91" t="s">
        <v>16</v>
      </c>
      <c r="E91" s="2">
        <v>44529</v>
      </c>
      <c r="G91" t="str">
        <f t="shared" si="2"/>
        <v>Snervous Tyler Oakley</v>
      </c>
      <c r="H91" t="str">
        <f>IF('Cleaned-data'!C91="unknown","Unknown",PROPER(TRIM('Cleaned-data'!C91)))</f>
        <v>Amy Rice</v>
      </c>
      <c r="I91" t="str">
        <f t="shared" si="3"/>
        <v>United States</v>
      </c>
      <c r="J91" s="2">
        <v>44529</v>
      </c>
    </row>
    <row r="92" spans="1:10" x14ac:dyDescent="0.3">
      <c r="A92" t="s">
        <v>587</v>
      </c>
      <c r="C92" t="s">
        <v>588</v>
      </c>
      <c r="D92" t="s">
        <v>16</v>
      </c>
      <c r="E92" s="2">
        <v>44530</v>
      </c>
      <c r="G92" t="str">
        <f t="shared" si="2"/>
        <v>The Guns of Navarone</v>
      </c>
      <c r="H92" t="str">
        <f>IF('Cleaned-data'!C92="unknown","Unknown",PROPER(TRIM('Cleaned-data'!C92)))</f>
        <v>J. Lee Thompson</v>
      </c>
      <c r="I92" t="str">
        <f t="shared" si="3"/>
        <v>United States</v>
      </c>
      <c r="J92" s="2">
        <v>44530</v>
      </c>
    </row>
    <row r="93" spans="1:10" x14ac:dyDescent="0.3">
      <c r="A93" t="s">
        <v>597</v>
      </c>
      <c r="C93" t="s">
        <v>2963</v>
      </c>
      <c r="D93" t="s">
        <v>16</v>
      </c>
      <c r="E93" s="2">
        <v>44531</v>
      </c>
      <c r="G93" t="str">
        <f t="shared" si="2"/>
        <v>Turning Point: 9/11 and the War on Terror</v>
      </c>
      <c r="H93" t="str">
        <f>IF('Cleaned-data'!C93="unknown","Unknown",PROPER(TRIM('Cleaned-data'!C93)))</f>
        <v>Unknown</v>
      </c>
      <c r="I93" t="str">
        <f t="shared" si="3"/>
        <v>United States</v>
      </c>
      <c r="J93" s="2">
        <v>44531</v>
      </c>
    </row>
    <row r="94" spans="1:10" x14ac:dyDescent="0.3">
      <c r="A94" t="s">
        <v>602</v>
      </c>
      <c r="C94" t="s">
        <v>2963</v>
      </c>
      <c r="D94" t="s">
        <v>16</v>
      </c>
      <c r="E94" s="2">
        <v>44532</v>
      </c>
      <c r="G94" t="str">
        <f t="shared" si="2"/>
        <v>The Ingenuity of the Househusband</v>
      </c>
      <c r="H94" t="str">
        <f>IF('Cleaned-data'!C94="unknown","Unknown",PROPER(TRIM('Cleaned-data'!C94)))</f>
        <v>Unknown</v>
      </c>
      <c r="I94" t="str">
        <f t="shared" si="3"/>
        <v>United States</v>
      </c>
      <c r="J94" s="2">
        <v>44532</v>
      </c>
    </row>
    <row r="95" spans="1:10" x14ac:dyDescent="0.3">
      <c r="A95" t="s">
        <v>607</v>
      </c>
      <c r="C95" t="s">
        <v>608</v>
      </c>
      <c r="D95" t="s">
        <v>16</v>
      </c>
      <c r="E95" s="2">
        <v>44533</v>
      </c>
      <c r="G95" t="str">
        <f t="shared" si="2"/>
        <v>Wind River</v>
      </c>
      <c r="H95" t="str">
        <f>IF('Cleaned-data'!C95="unknown","Unknown",PROPER(TRIM('Cleaned-data'!C95)))</f>
        <v>Taylor Sheridan</v>
      </c>
      <c r="I95" t="str">
        <f t="shared" si="3"/>
        <v>United States</v>
      </c>
      <c r="J95" s="2">
        <v>44533</v>
      </c>
    </row>
    <row r="96" spans="1:10" x14ac:dyDescent="0.3">
      <c r="A96" t="s">
        <v>613</v>
      </c>
      <c r="C96" t="s">
        <v>614</v>
      </c>
      <c r="D96" t="s">
        <v>16</v>
      </c>
      <c r="E96" s="2">
        <v>44534</v>
      </c>
      <c r="G96" t="str">
        <f t="shared" si="2"/>
        <v>C Kkompany</v>
      </c>
      <c r="H96" t="str">
        <f>IF('Cleaned-data'!C96="unknown","Unknown",PROPER(TRIM('Cleaned-data'!C96)))</f>
        <v>Sachin Yardi</v>
      </c>
      <c r="I96" t="str">
        <f t="shared" si="3"/>
        <v>United States</v>
      </c>
      <c r="J96" s="2">
        <v>44534</v>
      </c>
    </row>
    <row r="97" spans="1:10" x14ac:dyDescent="0.3">
      <c r="A97" t="s">
        <v>619</v>
      </c>
      <c r="C97" t="s">
        <v>2963</v>
      </c>
      <c r="D97" t="s">
        <v>16</v>
      </c>
      <c r="E97" s="2">
        <v>44535</v>
      </c>
      <c r="G97" t="str">
        <f t="shared" si="2"/>
        <v>Deadly Sins</v>
      </c>
      <c r="H97" t="str">
        <f>IF('Cleaned-data'!C97="unknown","Unknown",PROPER(TRIM('Cleaned-data'!C97)))</f>
        <v>Unknown</v>
      </c>
      <c r="I97" t="str">
        <f t="shared" si="3"/>
        <v>United States</v>
      </c>
      <c r="J97" s="2">
        <v>44535</v>
      </c>
    </row>
    <row r="98" spans="1:10" x14ac:dyDescent="0.3">
      <c r="A98" t="s">
        <v>624</v>
      </c>
      <c r="C98" t="s">
        <v>327</v>
      </c>
      <c r="D98" t="s">
        <v>16</v>
      </c>
      <c r="E98" s="2">
        <v>44536</v>
      </c>
      <c r="G98" t="str">
        <f t="shared" si="2"/>
        <v>King of Boys: The Return of the King</v>
      </c>
      <c r="H98" t="str">
        <f>IF('Cleaned-data'!C98="unknown","Unknown",PROPER(TRIM('Cleaned-data'!C98)))</f>
        <v>Kemi Adetiba</v>
      </c>
      <c r="I98" t="str">
        <f t="shared" si="3"/>
        <v>United States</v>
      </c>
      <c r="J98" s="2">
        <v>44536</v>
      </c>
    </row>
    <row r="99" spans="1:10" x14ac:dyDescent="0.3">
      <c r="A99" t="s">
        <v>629</v>
      </c>
      <c r="C99" t="s">
        <v>630</v>
      </c>
      <c r="D99" t="s">
        <v>16</v>
      </c>
      <c r="E99" s="2">
        <v>44537</v>
      </c>
      <c r="G99" t="str">
        <f t="shared" si="2"/>
        <v>Krishna Cottage</v>
      </c>
      <c r="H99" t="str">
        <f>IF('Cleaned-data'!C99="unknown","Unknown",PROPER(TRIM('Cleaned-data'!C99)))</f>
        <v>Santram Varma</v>
      </c>
      <c r="I99" t="str">
        <f t="shared" si="3"/>
        <v>United States</v>
      </c>
      <c r="J99" s="2">
        <v>44537</v>
      </c>
    </row>
    <row r="100" spans="1:10" x14ac:dyDescent="0.3">
      <c r="A100" t="s">
        <v>636</v>
      </c>
      <c r="C100" t="s">
        <v>637</v>
      </c>
      <c r="D100" t="s">
        <v>16</v>
      </c>
      <c r="E100" s="2">
        <v>44538</v>
      </c>
      <c r="G100" t="str">
        <f t="shared" si="2"/>
        <v>Kyo Kii... Main Jhuth Nahin Bolta</v>
      </c>
      <c r="H100" t="str">
        <f>IF('Cleaned-data'!C100="unknown","Unknown",PROPER(TRIM('Cleaned-data'!C100)))</f>
        <v>David Dhawan</v>
      </c>
      <c r="I100" t="str">
        <f t="shared" si="3"/>
        <v>United States</v>
      </c>
      <c r="J100" s="2">
        <v>44538</v>
      </c>
    </row>
    <row r="101" spans="1:10" x14ac:dyDescent="0.3">
      <c r="A101" t="s">
        <v>643</v>
      </c>
      <c r="C101" t="s">
        <v>644</v>
      </c>
      <c r="D101" t="s">
        <v>16</v>
      </c>
      <c r="E101" s="2">
        <v>44539</v>
      </c>
      <c r="G101" t="str">
        <f t="shared" si="2"/>
        <v>Mission Istaanbul: Darr Ke Aagey Jeet Hai</v>
      </c>
      <c r="H101" t="str">
        <f>IF('Cleaned-data'!C101="unknown","Unknown",PROPER(TRIM('Cleaned-data'!C101)))</f>
        <v>Apoorva Lakhia</v>
      </c>
      <c r="I101" t="str">
        <f t="shared" si="3"/>
        <v>United States</v>
      </c>
      <c r="J101" s="2">
        <v>44539</v>
      </c>
    </row>
    <row r="102" spans="1:10" x14ac:dyDescent="0.3">
      <c r="A102" t="s">
        <v>649</v>
      </c>
      <c r="C102" t="s">
        <v>650</v>
      </c>
      <c r="D102" t="s">
        <v>16</v>
      </c>
      <c r="E102" s="2">
        <v>44540</v>
      </c>
      <c r="G102" t="str">
        <f t="shared" si="2"/>
        <v>Once Upon a Time in Mumbaai</v>
      </c>
      <c r="H102" t="str">
        <f>IF('Cleaned-data'!C102="unknown","Unknown",PROPER(TRIM('Cleaned-data'!C102)))</f>
        <v>Milan Luthria</v>
      </c>
      <c r="I102" t="str">
        <f t="shared" si="3"/>
        <v>United States</v>
      </c>
      <c r="J102" s="2">
        <v>44540</v>
      </c>
    </row>
    <row r="103" spans="1:10" x14ac:dyDescent="0.3">
      <c r="A103" t="s">
        <v>656</v>
      </c>
      <c r="C103" t="s">
        <v>657</v>
      </c>
      <c r="D103" t="s">
        <v>16</v>
      </c>
      <c r="E103" s="2">
        <v>44541</v>
      </c>
      <c r="G103" t="str">
        <f t="shared" si="2"/>
        <v>Ragini MMS</v>
      </c>
      <c r="H103" t="str">
        <f>IF('Cleaned-data'!C103="unknown","Unknown",PROPER(TRIM('Cleaned-data'!C103)))</f>
        <v>Pawan Kripalani</v>
      </c>
      <c r="I103" t="str">
        <f t="shared" si="3"/>
        <v>United States</v>
      </c>
      <c r="J103" s="2">
        <v>44541</v>
      </c>
    </row>
    <row r="104" spans="1:10" x14ac:dyDescent="0.3">
      <c r="A104" t="s">
        <v>662</v>
      </c>
      <c r="C104" t="s">
        <v>2963</v>
      </c>
      <c r="D104" t="s">
        <v>16</v>
      </c>
      <c r="E104" s="2">
        <v>44542</v>
      </c>
      <c r="G104" t="str">
        <f t="shared" si="2"/>
        <v>Titletown High</v>
      </c>
      <c r="H104" t="str">
        <f>IF('Cleaned-data'!C104="unknown","Unknown",PROPER(TRIM('Cleaned-data'!C104)))</f>
        <v>Unknown</v>
      </c>
      <c r="I104" t="str">
        <f t="shared" si="3"/>
        <v>United States</v>
      </c>
      <c r="J104" s="2">
        <v>44542</v>
      </c>
    </row>
    <row r="105" spans="1:10" x14ac:dyDescent="0.3">
      <c r="A105" t="s">
        <v>666</v>
      </c>
      <c r="C105" t="s">
        <v>667</v>
      </c>
      <c r="D105" t="s">
        <v>16</v>
      </c>
      <c r="E105" s="2">
        <v>44543</v>
      </c>
      <c r="G105" t="str">
        <f t="shared" si="2"/>
        <v>Clickbait</v>
      </c>
      <c r="H105" t="str">
        <f>IF('Cleaned-data'!C105="unknown","Unknown",PROPER(TRIM('Cleaned-data'!C105)))</f>
        <v>Brad Anderson</v>
      </c>
      <c r="I105" t="str">
        <f t="shared" si="3"/>
        <v>United States</v>
      </c>
      <c r="J105" s="2">
        <v>44543</v>
      </c>
    </row>
    <row r="106" spans="1:10" x14ac:dyDescent="0.3">
      <c r="A106" t="s">
        <v>672</v>
      </c>
      <c r="C106" t="s">
        <v>2963</v>
      </c>
      <c r="D106" t="s">
        <v>16</v>
      </c>
      <c r="E106" s="2">
        <v>44544</v>
      </c>
      <c r="G106" t="str">
        <f t="shared" si="2"/>
        <v>Motel Makeover</v>
      </c>
      <c r="H106" t="str">
        <f>IF('Cleaned-data'!C106="unknown","Unknown",PROPER(TRIM('Cleaned-data'!C106)))</f>
        <v>Unknown</v>
      </c>
      <c r="I106" t="str">
        <f t="shared" si="3"/>
        <v>United States</v>
      </c>
      <c r="J106" s="2">
        <v>44544</v>
      </c>
    </row>
    <row r="107" spans="1:10" x14ac:dyDescent="0.3">
      <c r="A107" t="s">
        <v>676</v>
      </c>
      <c r="C107" t="s">
        <v>2963</v>
      </c>
      <c r="D107" t="s">
        <v>16</v>
      </c>
      <c r="E107" s="2">
        <v>44545</v>
      </c>
      <c r="G107" t="str">
        <f t="shared" si="2"/>
        <v>Post Mortem: No One Dies in Skarnes</v>
      </c>
      <c r="H107" t="str">
        <f>IF('Cleaned-data'!C107="unknown","Unknown",PROPER(TRIM('Cleaned-data'!C107)))</f>
        <v>Unknown</v>
      </c>
      <c r="I107" t="str">
        <f t="shared" si="3"/>
        <v>United States</v>
      </c>
      <c r="J107" s="2">
        <v>44545</v>
      </c>
    </row>
    <row r="108" spans="1:10" x14ac:dyDescent="0.3">
      <c r="A108" t="s">
        <v>681</v>
      </c>
      <c r="C108" t="s">
        <v>682</v>
      </c>
      <c r="D108" t="s">
        <v>16</v>
      </c>
      <c r="E108" s="2">
        <v>44546</v>
      </c>
      <c r="G108" t="str">
        <f t="shared" si="2"/>
        <v>Really Love</v>
      </c>
      <c r="H108" t="str">
        <f>IF('Cleaned-data'!C108="unknown","Unknown",PROPER(TRIM('Cleaned-data'!C108)))</f>
        <v>Angel Kristi Williams</v>
      </c>
      <c r="I108" t="str">
        <f t="shared" si="3"/>
        <v>United States</v>
      </c>
      <c r="J108" s="2">
        <v>44546</v>
      </c>
    </row>
    <row r="109" spans="1:10" x14ac:dyDescent="0.3">
      <c r="A109" t="s">
        <v>687</v>
      </c>
      <c r="C109" t="s">
        <v>688</v>
      </c>
      <c r="D109" t="s">
        <v>16</v>
      </c>
      <c r="E109" s="2">
        <v>44547</v>
      </c>
      <c r="G109" t="str">
        <f t="shared" si="2"/>
        <v>The Old Ways</v>
      </c>
      <c r="H109" t="str">
        <f>IF('Cleaned-data'!C109="unknown","Unknown",PROPER(TRIM('Cleaned-data'!C109)))</f>
        <v>Christopher Alender</v>
      </c>
      <c r="I109" t="str">
        <f t="shared" si="3"/>
        <v>United States</v>
      </c>
      <c r="J109" s="2">
        <v>44547</v>
      </c>
    </row>
    <row r="110" spans="1:10" x14ac:dyDescent="0.3">
      <c r="A110" t="s">
        <v>693</v>
      </c>
      <c r="C110" t="s">
        <v>694</v>
      </c>
      <c r="D110" t="s">
        <v>16</v>
      </c>
      <c r="E110" s="2">
        <v>44548</v>
      </c>
      <c r="G110" t="str">
        <f t="shared" si="2"/>
        <v>Untold: Caitlyn Jenner</v>
      </c>
      <c r="H110" t="str">
        <f>IF('Cleaned-data'!C110="unknown","Unknown",PROPER(TRIM('Cleaned-data'!C110)))</f>
        <v>Crystal Moselle</v>
      </c>
      <c r="I110" t="str">
        <f t="shared" si="3"/>
        <v>United States</v>
      </c>
      <c r="J110" s="2">
        <v>44548</v>
      </c>
    </row>
    <row r="111" spans="1:10" x14ac:dyDescent="0.3">
      <c r="A111" t="s">
        <v>699</v>
      </c>
      <c r="C111" t="s">
        <v>700</v>
      </c>
      <c r="D111" t="s">
        <v>16</v>
      </c>
      <c r="E111" s="2">
        <v>44549</v>
      </c>
      <c r="G111" t="str">
        <f t="shared" si="2"/>
        <v>Boomika</v>
      </c>
      <c r="H111" t="str">
        <f>IF('Cleaned-data'!C111="unknown","Unknown",PROPER(TRIM('Cleaned-data'!C111)))</f>
        <v>Rathindran R Prasad</v>
      </c>
      <c r="I111" t="str">
        <f t="shared" si="3"/>
        <v>United States</v>
      </c>
      <c r="J111" s="2">
        <v>44549</v>
      </c>
    </row>
    <row r="112" spans="1:10" x14ac:dyDescent="0.3">
      <c r="A112" t="s">
        <v>705</v>
      </c>
      <c r="C112" t="s">
        <v>706</v>
      </c>
      <c r="D112" t="s">
        <v>16</v>
      </c>
      <c r="E112" s="2">
        <v>44550</v>
      </c>
      <c r="G112" t="str">
        <f t="shared" si="2"/>
        <v>The Witcher: Nightmare of the Wolf</v>
      </c>
      <c r="H112" t="str">
        <f>IF('Cleaned-data'!C112="unknown","Unknown",PROPER(TRIM('Cleaned-data'!C112)))</f>
        <v>Han Kwang Il</v>
      </c>
      <c r="I112" t="str">
        <f t="shared" si="3"/>
        <v>United States</v>
      </c>
      <c r="J112" s="2">
        <v>44550</v>
      </c>
    </row>
    <row r="113" spans="1:10" x14ac:dyDescent="0.3">
      <c r="A113" t="s">
        <v>712</v>
      </c>
      <c r="C113" t="s">
        <v>2963</v>
      </c>
      <c r="D113" t="s">
        <v>16</v>
      </c>
      <c r="E113" s="2">
        <v>44551</v>
      </c>
      <c r="G113" t="str">
        <f t="shared" si="2"/>
        <v>Manifest</v>
      </c>
      <c r="H113" t="str">
        <f>IF('Cleaned-data'!C113="unknown","Unknown",PROPER(TRIM('Cleaned-data'!C113)))</f>
        <v>Unknown</v>
      </c>
      <c r="I113" t="str">
        <f t="shared" si="3"/>
        <v>United States</v>
      </c>
      <c r="J113" s="2">
        <v>44551</v>
      </c>
    </row>
    <row r="114" spans="1:10" x14ac:dyDescent="0.3">
      <c r="A114" t="s">
        <v>717</v>
      </c>
      <c r="C114" t="s">
        <v>2963</v>
      </c>
      <c r="D114" t="s">
        <v>16</v>
      </c>
      <c r="E114" s="2">
        <v>44552</v>
      </c>
      <c r="G114" t="str">
        <f t="shared" si="2"/>
        <v>Everything Will Be Fine</v>
      </c>
      <c r="H114" t="str">
        <f>IF('Cleaned-data'!C114="unknown","Unknown",PROPER(TRIM('Cleaned-data'!C114)))</f>
        <v>Unknown</v>
      </c>
      <c r="I114" t="str">
        <f t="shared" si="3"/>
        <v>United States</v>
      </c>
      <c r="J114" s="2">
        <v>44552</v>
      </c>
    </row>
    <row r="115" spans="1:10" x14ac:dyDescent="0.3">
      <c r="A115" t="s">
        <v>722</v>
      </c>
      <c r="C115" t="s">
        <v>723</v>
      </c>
      <c r="D115" t="s">
        <v>16</v>
      </c>
      <c r="E115" s="2">
        <v>44553</v>
      </c>
      <c r="G115" t="str">
        <f t="shared" si="2"/>
        <v>The Loud House Movie</v>
      </c>
      <c r="H115" t="str">
        <f>IF('Cleaned-data'!C115="unknown","Unknown",PROPER(TRIM('Cleaned-data'!C115)))</f>
        <v>Dave Needham</v>
      </c>
      <c r="I115" t="str">
        <f t="shared" si="3"/>
        <v>United States</v>
      </c>
      <c r="J115" s="2">
        <v>44553</v>
      </c>
    </row>
    <row r="116" spans="1:10" x14ac:dyDescent="0.3">
      <c r="A116" t="s">
        <v>728</v>
      </c>
      <c r="C116" t="s">
        <v>729</v>
      </c>
      <c r="D116" t="s">
        <v>16</v>
      </c>
      <c r="E116" s="2">
        <v>44554</v>
      </c>
      <c r="G116" t="str">
        <f t="shared" si="2"/>
        <v>Walk of Shame</v>
      </c>
      <c r="H116" t="str">
        <f>IF('Cleaned-data'!C116="unknown","Unknown",PROPER(TRIM('Cleaned-data'!C116)))</f>
        <v>Steve Brill</v>
      </c>
      <c r="I116" t="str">
        <f t="shared" si="3"/>
        <v>United States</v>
      </c>
      <c r="J116" s="2">
        <v>44554</v>
      </c>
    </row>
    <row r="117" spans="1:10" x14ac:dyDescent="0.3">
      <c r="A117" t="s">
        <v>734</v>
      </c>
      <c r="C117" t="s">
        <v>2963</v>
      </c>
      <c r="D117" t="s">
        <v>16</v>
      </c>
      <c r="E117" s="2">
        <v>44555</v>
      </c>
      <c r="G117" t="str">
        <f t="shared" si="2"/>
        <v>Rascal Does Not Dream of Bunny Girl Senpai</v>
      </c>
      <c r="H117" t="str">
        <f>IF('Cleaned-data'!C117="unknown","Unknown",PROPER(TRIM('Cleaned-data'!C117)))</f>
        <v>Unknown</v>
      </c>
      <c r="I117" t="str">
        <f t="shared" si="3"/>
        <v>United States</v>
      </c>
      <c r="J117" s="2">
        <v>44555</v>
      </c>
    </row>
    <row r="118" spans="1:10" x14ac:dyDescent="0.3">
      <c r="A118" t="s">
        <v>739</v>
      </c>
      <c r="C118" t="s">
        <v>447</v>
      </c>
      <c r="D118" t="s">
        <v>16</v>
      </c>
      <c r="E118" s="2">
        <v>44556</v>
      </c>
      <c r="G118" t="str">
        <f t="shared" si="2"/>
        <v>The Piano</v>
      </c>
      <c r="H118" t="str">
        <f>IF('Cleaned-data'!C118="unknown","Unknown",PROPER(TRIM('Cleaned-data'!C118)))</f>
        <v>Jane Campion</v>
      </c>
      <c r="I118" t="str">
        <f t="shared" si="3"/>
        <v>United States</v>
      </c>
      <c r="J118" s="2">
        <v>44556</v>
      </c>
    </row>
    <row r="119" spans="1:10" x14ac:dyDescent="0.3">
      <c r="A119" t="s">
        <v>745</v>
      </c>
      <c r="C119" t="s">
        <v>746</v>
      </c>
      <c r="D119" t="s">
        <v>16</v>
      </c>
      <c r="E119" s="2">
        <v>44557</v>
      </c>
      <c r="G119" t="str">
        <f t="shared" si="2"/>
        <v>Valeria</v>
      </c>
      <c r="H119" t="str">
        <f>IF('Cleaned-data'!C119="unknown","Unknown",PROPER(TRIM('Cleaned-data'!C119)))</f>
        <v>Inma Torrente</v>
      </c>
      <c r="I119" t="str">
        <f t="shared" si="3"/>
        <v>United States</v>
      </c>
      <c r="J119" s="2">
        <v>44557</v>
      </c>
    </row>
    <row r="120" spans="1:10" x14ac:dyDescent="0.3">
      <c r="A120" t="s">
        <v>751</v>
      </c>
      <c r="C120" t="s">
        <v>2963</v>
      </c>
      <c r="D120" t="s">
        <v>16</v>
      </c>
      <c r="E120" s="2">
        <v>44558</v>
      </c>
      <c r="G120" t="str">
        <f t="shared" si="2"/>
        <v>AlRawabi School for Girls</v>
      </c>
      <c r="H120" t="str">
        <f>IF('Cleaned-data'!C120="unknown","Unknown",PROPER(TRIM('Cleaned-data'!C120)))</f>
        <v>Unknown</v>
      </c>
      <c r="I120" t="str">
        <f t="shared" si="3"/>
        <v>United States</v>
      </c>
      <c r="J120" s="2">
        <v>44558</v>
      </c>
    </row>
    <row r="121" spans="1:10" x14ac:dyDescent="0.3">
      <c r="A121" t="s">
        <v>756</v>
      </c>
      <c r="C121" t="s">
        <v>757</v>
      </c>
      <c r="D121" t="s">
        <v>16</v>
      </c>
      <c r="E121" s="2">
        <v>44559</v>
      </c>
      <c r="G121" t="str">
        <f t="shared" si="2"/>
        <v>Lokillo: Nothing's the Same</v>
      </c>
      <c r="H121" t="str">
        <f>IF('Cleaned-data'!C121="unknown","Unknown",PROPER(TRIM('Cleaned-data'!C121)))</f>
        <v>Juliã¡N Gaviria</v>
      </c>
      <c r="I121" t="str">
        <f t="shared" si="3"/>
        <v>United States</v>
      </c>
      <c r="J121" s="2">
        <v>44559</v>
      </c>
    </row>
    <row r="122" spans="1:10" x14ac:dyDescent="0.3">
      <c r="A122" t="s">
        <v>763</v>
      </c>
      <c r="C122" t="s">
        <v>764</v>
      </c>
      <c r="D122" t="s">
        <v>16</v>
      </c>
      <c r="E122" s="2">
        <v>44560</v>
      </c>
      <c r="G122" t="str">
        <f t="shared" si="2"/>
        <v>Monster Hunter: Legends of the Guild</v>
      </c>
      <c r="H122" t="str">
        <f>IF('Cleaned-data'!C122="unknown","Unknown",PROPER(TRIM('Cleaned-data'!C122)))</f>
        <v>Steven Yamamoto</v>
      </c>
      <c r="I122" t="str">
        <f t="shared" si="3"/>
        <v>United States</v>
      </c>
      <c r="J122" s="2">
        <v>44560</v>
      </c>
    </row>
    <row r="123" spans="1:10" x14ac:dyDescent="0.3">
      <c r="A123" t="s">
        <v>770</v>
      </c>
      <c r="C123" t="s">
        <v>2963</v>
      </c>
      <c r="D123" t="s">
        <v>16</v>
      </c>
      <c r="E123" s="2">
        <v>44561</v>
      </c>
      <c r="G123" t="str">
        <f t="shared" si="2"/>
        <v>The Crowned Clown</v>
      </c>
      <c r="H123" t="str">
        <f>IF('Cleaned-data'!C123="unknown","Unknown",PROPER(TRIM('Cleaned-data'!C123)))</f>
        <v>Unknown</v>
      </c>
      <c r="I123" t="str">
        <f t="shared" si="3"/>
        <v>United States</v>
      </c>
      <c r="J123" s="2">
        <v>44561</v>
      </c>
    </row>
    <row r="124" spans="1:10" x14ac:dyDescent="0.3">
      <c r="A124" t="s">
        <v>775</v>
      </c>
      <c r="C124" t="s">
        <v>776</v>
      </c>
      <c r="D124" t="s">
        <v>16</v>
      </c>
      <c r="E124" s="2">
        <v>44562</v>
      </c>
      <c r="G124" t="str">
        <f t="shared" si="2"/>
        <v>Takizawa Kabuki ZERO 2020 The Movie</v>
      </c>
      <c r="H124" t="str">
        <f>IF('Cleaned-data'!C124="unknown","Unknown",PROPER(TRIM('Cleaned-data'!C124)))</f>
        <v>Hideaki Takizawa</v>
      </c>
      <c r="I124" t="str">
        <f t="shared" si="3"/>
        <v>United States</v>
      </c>
      <c r="J124" s="2">
        <v>44562</v>
      </c>
    </row>
    <row r="125" spans="1:10" x14ac:dyDescent="0.3">
      <c r="A125" t="s">
        <v>782</v>
      </c>
      <c r="C125" t="s">
        <v>2963</v>
      </c>
      <c r="D125" t="s">
        <v>16</v>
      </c>
      <c r="E125" s="2">
        <v>44563</v>
      </c>
      <c r="G125" t="str">
        <f t="shared" si="2"/>
        <v>Hit &amp; Run</v>
      </c>
      <c r="H125" t="str">
        <f>IF('Cleaned-data'!C125="unknown","Unknown",PROPER(TRIM('Cleaned-data'!C125)))</f>
        <v>Unknown</v>
      </c>
      <c r="I125" t="str">
        <f t="shared" si="3"/>
        <v>United States</v>
      </c>
      <c r="J125" s="2">
        <v>44563</v>
      </c>
    </row>
    <row r="126" spans="1:10" x14ac:dyDescent="0.3">
      <c r="A126" t="s">
        <v>787</v>
      </c>
      <c r="C126" t="s">
        <v>788</v>
      </c>
      <c r="D126" t="s">
        <v>16</v>
      </c>
      <c r="E126" s="2">
        <v>44564</v>
      </c>
      <c r="G126" t="str">
        <f t="shared" si="2"/>
        <v>The Swarm</v>
      </c>
      <c r="H126" t="str">
        <f>IF('Cleaned-data'!C126="unknown","Unknown",PROPER(TRIM('Cleaned-data'!C126)))</f>
        <v>Just Philippot</v>
      </c>
      <c r="I126" t="str">
        <f t="shared" si="3"/>
        <v>United States</v>
      </c>
      <c r="J126" s="2">
        <v>44564</v>
      </c>
    </row>
    <row r="127" spans="1:10" x14ac:dyDescent="0.3">
      <c r="A127" t="s">
        <v>793</v>
      </c>
      <c r="C127" t="s">
        <v>794</v>
      </c>
      <c r="D127" t="s">
        <v>16</v>
      </c>
      <c r="E127" s="2">
        <v>44565</v>
      </c>
      <c r="G127" t="str">
        <f t="shared" si="2"/>
        <v>Esperando la carroza</v>
      </c>
      <c r="H127" t="str">
        <f>IF('Cleaned-data'!C127="unknown","Unknown",PROPER(TRIM('Cleaned-data'!C127)))</f>
        <v>Alejandro Doria</v>
      </c>
      <c r="I127" t="str">
        <f t="shared" si="3"/>
        <v>United States</v>
      </c>
      <c r="J127" s="2">
        <v>44565</v>
      </c>
    </row>
    <row r="128" spans="1:10" x14ac:dyDescent="0.3">
      <c r="A128" t="s">
        <v>799</v>
      </c>
      <c r="C128" t="s">
        <v>800</v>
      </c>
      <c r="D128" t="s">
        <v>16</v>
      </c>
      <c r="E128" s="2">
        <v>44566</v>
      </c>
      <c r="G128" t="str">
        <f t="shared" si="2"/>
        <v>Tango Feroz</v>
      </c>
      <c r="H128" t="str">
        <f>IF('Cleaned-data'!C128="unknown","Unknown",PROPER(TRIM('Cleaned-data'!C128)))</f>
        <v>Marcelo Piã±Eyro</v>
      </c>
      <c r="I128" t="str">
        <f t="shared" si="3"/>
        <v>United States</v>
      </c>
      <c r="J128" s="2">
        <v>44566</v>
      </c>
    </row>
    <row r="129" spans="1:10" x14ac:dyDescent="0.3">
      <c r="A129" t="s">
        <v>805</v>
      </c>
      <c r="C129" t="s">
        <v>806</v>
      </c>
      <c r="D129" t="s">
        <v>16</v>
      </c>
      <c r="E129" s="2">
        <v>44567</v>
      </c>
      <c r="G129" t="str">
        <f t="shared" si="2"/>
        <v>American Masters: Inventing David Geffen</v>
      </c>
      <c r="H129" t="str">
        <f>IF('Cleaned-data'!C129="unknown","Unknown",PROPER(TRIM('Cleaned-data'!C129)))</f>
        <v>Susan Lacy</v>
      </c>
      <c r="I129" t="str">
        <f t="shared" si="3"/>
        <v>United States</v>
      </c>
      <c r="J129" s="2">
        <v>44567</v>
      </c>
    </row>
    <row r="130" spans="1:10" x14ac:dyDescent="0.3">
      <c r="A130" t="s">
        <v>811</v>
      </c>
      <c r="C130" t="s">
        <v>812</v>
      </c>
      <c r="D130" t="s">
        <v>16</v>
      </c>
      <c r="E130" s="2">
        <v>44568</v>
      </c>
      <c r="G130" t="str">
        <f t="shared" si="2"/>
        <v>Cocaine Cowboys: The Kings of Miami</v>
      </c>
      <c r="H130" t="str">
        <f>IF('Cleaned-data'!C130="unknown","Unknown",PROPER(TRIM('Cleaned-data'!C130)))</f>
        <v>Billy Corben</v>
      </c>
      <c r="I130" t="str">
        <f t="shared" si="3"/>
        <v>United States</v>
      </c>
      <c r="J130" s="2">
        <v>44568</v>
      </c>
    </row>
    <row r="131" spans="1:10" x14ac:dyDescent="0.3">
      <c r="A131" t="s">
        <v>816</v>
      </c>
      <c r="C131" t="s">
        <v>817</v>
      </c>
      <c r="D131" t="s">
        <v>16</v>
      </c>
      <c r="E131" s="2">
        <v>44569</v>
      </c>
      <c r="G131" t="str">
        <f t="shared" ref="G131:G194" si="4">TRIM(A131)</f>
        <v>Cloudy with a Chance of Meatballs</v>
      </c>
      <c r="H131" t="str">
        <f>IF('Cleaned-data'!C131="unknown","Unknown",PROPER(TRIM('Cleaned-data'!C131)))</f>
        <v>Phil Lord, Christopher Miller</v>
      </c>
      <c r="I131" t="str">
        <f t="shared" ref="I131:I194" si="5">TRIM(D131)</f>
        <v>United States</v>
      </c>
      <c r="J131" s="2">
        <v>44569</v>
      </c>
    </row>
    <row r="132" spans="1:10" x14ac:dyDescent="0.3">
      <c r="A132" t="s">
        <v>822</v>
      </c>
      <c r="C132" t="s">
        <v>2963</v>
      </c>
      <c r="D132" t="s">
        <v>16</v>
      </c>
      <c r="E132" s="2">
        <v>44570</v>
      </c>
      <c r="G132" t="str">
        <f t="shared" si="4"/>
        <v>Darwinâ€™s Game</v>
      </c>
      <c r="H132" t="str">
        <f>IF('Cleaned-data'!C132="unknown","Unknown",PROPER(TRIM('Cleaned-data'!C132)))</f>
        <v>Unknown</v>
      </c>
      <c r="I132" t="str">
        <f t="shared" si="5"/>
        <v>United States</v>
      </c>
      <c r="J132" s="2">
        <v>44570</v>
      </c>
    </row>
    <row r="133" spans="1:10" x14ac:dyDescent="0.3">
      <c r="A133" t="s">
        <v>827</v>
      </c>
      <c r="C133" t="s">
        <v>490</v>
      </c>
      <c r="D133" t="s">
        <v>16</v>
      </c>
      <c r="E133" s="2">
        <v>44571</v>
      </c>
      <c r="G133" t="str">
        <f t="shared" si="4"/>
        <v>Deep Blue Sea</v>
      </c>
      <c r="H133" t="str">
        <f>IF('Cleaned-data'!C133="unknown","Unknown",PROPER(TRIM('Cleaned-data'!C133)))</f>
        <v>Renny Harlin</v>
      </c>
      <c r="I133" t="str">
        <f t="shared" si="5"/>
        <v>United States</v>
      </c>
      <c r="J133" s="2">
        <v>44571</v>
      </c>
    </row>
    <row r="134" spans="1:10" x14ac:dyDescent="0.3">
      <c r="A134" t="s">
        <v>832</v>
      </c>
      <c r="C134" t="s">
        <v>833</v>
      </c>
      <c r="D134" t="s">
        <v>16</v>
      </c>
      <c r="E134" s="2">
        <v>44572</v>
      </c>
      <c r="G134" t="str">
        <f t="shared" si="4"/>
        <v>Ferris Bueller's Day Off</v>
      </c>
      <c r="H134" t="str">
        <f>IF('Cleaned-data'!C134="unknown","Unknown",PROPER(TRIM('Cleaned-data'!C134)))</f>
        <v>John Hughes</v>
      </c>
      <c r="I134" t="str">
        <f t="shared" si="5"/>
        <v>United States</v>
      </c>
      <c r="J134" s="2">
        <v>44572</v>
      </c>
    </row>
    <row r="135" spans="1:10" x14ac:dyDescent="0.3">
      <c r="A135" t="s">
        <v>838</v>
      </c>
      <c r="C135" t="s">
        <v>2963</v>
      </c>
      <c r="D135" t="s">
        <v>16</v>
      </c>
      <c r="E135" s="2">
        <v>44573</v>
      </c>
      <c r="G135" t="str">
        <f t="shared" si="4"/>
        <v>Friday Night Lights</v>
      </c>
      <c r="H135" t="str">
        <f>IF('Cleaned-data'!C135="unknown","Unknown",PROPER(TRIM('Cleaned-data'!C135)))</f>
        <v>Unknown</v>
      </c>
      <c r="I135" t="str">
        <f t="shared" si="5"/>
        <v>United States</v>
      </c>
      <c r="J135" s="2">
        <v>44573</v>
      </c>
    </row>
    <row r="136" spans="1:10" x14ac:dyDescent="0.3">
      <c r="A136" t="s">
        <v>843</v>
      </c>
      <c r="C136" t="s">
        <v>844</v>
      </c>
      <c r="D136" t="s">
        <v>16</v>
      </c>
      <c r="E136" s="2">
        <v>44574</v>
      </c>
      <c r="G136" t="str">
        <f t="shared" si="4"/>
        <v>Inception</v>
      </c>
      <c r="H136" t="str">
        <f>IF('Cleaned-data'!C136="unknown","Unknown",PROPER(TRIM('Cleaned-data'!C136)))</f>
        <v>Christopher Nolan</v>
      </c>
      <c r="I136" t="str">
        <f t="shared" si="5"/>
        <v>United States</v>
      </c>
      <c r="J136" s="2">
        <v>44574</v>
      </c>
    </row>
    <row r="137" spans="1:10" x14ac:dyDescent="0.3">
      <c r="A137" t="s">
        <v>851</v>
      </c>
      <c r="C137" t="s">
        <v>849</v>
      </c>
      <c r="D137" t="s">
        <v>16</v>
      </c>
      <c r="E137" s="2">
        <v>44575</v>
      </c>
      <c r="G137" t="str">
        <f t="shared" si="4"/>
        <v>My Girl 2</v>
      </c>
      <c r="H137" t="str">
        <f>IF('Cleaned-data'!C137="unknown","Unknown",PROPER(TRIM('Cleaned-data'!C137)))</f>
        <v>Howard Zieff</v>
      </c>
      <c r="I137" t="str">
        <f t="shared" si="5"/>
        <v>United States</v>
      </c>
      <c r="J137" s="2">
        <v>44575</v>
      </c>
    </row>
    <row r="138" spans="1:10" x14ac:dyDescent="0.3">
      <c r="A138" t="s">
        <v>856</v>
      </c>
      <c r="C138" t="s">
        <v>857</v>
      </c>
      <c r="D138" t="s">
        <v>16</v>
      </c>
      <c r="E138" s="2">
        <v>44576</v>
      </c>
      <c r="G138" t="str">
        <f t="shared" si="4"/>
        <v>Seabiscuit</v>
      </c>
      <c r="H138" t="str">
        <f>IF('Cleaned-data'!C138="unknown","Unknown",PROPER(TRIM('Cleaned-data'!C138)))</f>
        <v>Gary Ross</v>
      </c>
      <c r="I138" t="str">
        <f t="shared" si="5"/>
        <v>United States</v>
      </c>
      <c r="J138" s="2">
        <v>44576</v>
      </c>
    </row>
    <row r="139" spans="1:10" x14ac:dyDescent="0.3">
      <c r="A139" t="s">
        <v>863</v>
      </c>
      <c r="C139" t="s">
        <v>864</v>
      </c>
      <c r="D139" t="s">
        <v>16</v>
      </c>
      <c r="E139" s="2">
        <v>44577</v>
      </c>
      <c r="G139" t="str">
        <f t="shared" si="4"/>
        <v>Space Cowboys</v>
      </c>
      <c r="H139" t="str">
        <f>IF('Cleaned-data'!C139="unknown","Unknown",PROPER(TRIM('Cleaned-data'!C139)))</f>
        <v>Clint Eastwood</v>
      </c>
      <c r="I139" t="str">
        <f t="shared" si="5"/>
        <v>United States</v>
      </c>
      <c r="J139" s="2">
        <v>44577</v>
      </c>
    </row>
    <row r="140" spans="1:10" x14ac:dyDescent="0.3">
      <c r="A140" t="s">
        <v>870</v>
      </c>
      <c r="C140" t="s">
        <v>871</v>
      </c>
      <c r="D140" t="s">
        <v>16</v>
      </c>
      <c r="E140" s="2">
        <v>44578</v>
      </c>
      <c r="G140" t="str">
        <f t="shared" si="4"/>
        <v>Team America: World Police</v>
      </c>
      <c r="H140" t="str">
        <f>IF('Cleaned-data'!C140="unknown","Unknown",PROPER(TRIM('Cleaned-data'!C140)))</f>
        <v>Trey Parker</v>
      </c>
      <c r="I140" t="str">
        <f t="shared" si="5"/>
        <v>United States</v>
      </c>
      <c r="J140" s="2">
        <v>44578</v>
      </c>
    </row>
    <row r="141" spans="1:10" x14ac:dyDescent="0.3">
      <c r="A141" t="s">
        <v>876</v>
      </c>
      <c r="C141" t="s">
        <v>667</v>
      </c>
      <c r="D141" t="s">
        <v>16</v>
      </c>
      <c r="E141" s="2">
        <v>44579</v>
      </c>
      <c r="G141" t="str">
        <f t="shared" si="4"/>
        <v>The Machinist</v>
      </c>
      <c r="H141" t="str">
        <f>IF('Cleaned-data'!C141="unknown","Unknown",PROPER(TRIM('Cleaned-data'!C141)))</f>
        <v>Brad Anderson</v>
      </c>
      <c r="I141" t="str">
        <f t="shared" si="5"/>
        <v>United States</v>
      </c>
      <c r="J141" s="2">
        <v>44579</v>
      </c>
    </row>
    <row r="142" spans="1:10" x14ac:dyDescent="0.3">
      <c r="A142" t="s">
        <v>881</v>
      </c>
      <c r="C142" t="s">
        <v>2963</v>
      </c>
      <c r="D142" t="s">
        <v>16</v>
      </c>
      <c r="E142" s="2">
        <v>44580</v>
      </c>
      <c r="G142" t="str">
        <f t="shared" si="4"/>
        <v>Charmed</v>
      </c>
      <c r="H142" t="str">
        <f>IF('Cleaned-data'!C142="unknown","Unknown",PROPER(TRIM('Cleaned-data'!C142)))</f>
        <v>Unknown</v>
      </c>
      <c r="I142" t="str">
        <f t="shared" si="5"/>
        <v>United States</v>
      </c>
      <c r="J142" s="2">
        <v>44580</v>
      </c>
    </row>
    <row r="143" spans="1:10" x14ac:dyDescent="0.3">
      <c r="A143" t="s">
        <v>886</v>
      </c>
      <c r="C143" t="s">
        <v>887</v>
      </c>
      <c r="D143" t="s">
        <v>16</v>
      </c>
      <c r="E143" s="2">
        <v>44581</v>
      </c>
      <c r="G143" t="str">
        <f t="shared" si="4"/>
        <v>The Vault</v>
      </c>
      <c r="H143" t="str">
        <f>IF('Cleaned-data'!C143="unknown","Unknown",PROPER(TRIM('Cleaned-data'!C143)))</f>
        <v>Jaume Balaguerã³</v>
      </c>
      <c r="I143" t="str">
        <f t="shared" si="5"/>
        <v>United States</v>
      </c>
      <c r="J143" s="2">
        <v>44581</v>
      </c>
    </row>
    <row r="144" spans="1:10" x14ac:dyDescent="0.3">
      <c r="A144" t="s">
        <v>892</v>
      </c>
      <c r="C144" t="s">
        <v>2963</v>
      </c>
      <c r="D144" t="s">
        <v>16</v>
      </c>
      <c r="E144" s="2">
        <v>44582</v>
      </c>
      <c r="G144" t="str">
        <f t="shared" si="4"/>
        <v>Glow Up</v>
      </c>
      <c r="H144" t="str">
        <f>IF('Cleaned-data'!C144="unknown","Unknown",PROPER(TRIM('Cleaned-data'!C144)))</f>
        <v>Unknown</v>
      </c>
      <c r="I144" t="str">
        <f t="shared" si="5"/>
        <v>United States</v>
      </c>
      <c r="J144" s="2">
        <v>44582</v>
      </c>
    </row>
    <row r="145" spans="1:10" x14ac:dyDescent="0.3">
      <c r="A145" t="s">
        <v>896</v>
      </c>
      <c r="C145" t="s">
        <v>2963</v>
      </c>
      <c r="D145" t="s">
        <v>16</v>
      </c>
      <c r="E145" s="2">
        <v>44583</v>
      </c>
      <c r="G145" t="str">
        <f t="shared" si="4"/>
        <v>Outer Banks</v>
      </c>
      <c r="H145" t="str">
        <f>IF('Cleaned-data'!C145="unknown","Unknown",PROPER(TRIM('Cleaned-data'!C145)))</f>
        <v>Unknown</v>
      </c>
      <c r="I145" t="str">
        <f t="shared" si="5"/>
        <v>United States</v>
      </c>
      <c r="J145" s="2">
        <v>44583</v>
      </c>
    </row>
    <row r="146" spans="1:10" x14ac:dyDescent="0.3">
      <c r="A146" t="s">
        <v>901</v>
      </c>
      <c r="C146" t="s">
        <v>2963</v>
      </c>
      <c r="D146" t="s">
        <v>16</v>
      </c>
      <c r="E146" s="2">
        <v>44584</v>
      </c>
      <c r="G146" t="str">
        <f t="shared" si="4"/>
        <v>Transformers: War for Cybertron: Kingdom</v>
      </c>
      <c r="H146" t="str">
        <f>IF('Cleaned-data'!C146="unknown","Unknown",PROPER(TRIM('Cleaned-data'!C146)))</f>
        <v>Unknown</v>
      </c>
      <c r="I146" t="str">
        <f t="shared" si="5"/>
        <v>United States</v>
      </c>
      <c r="J146" s="2">
        <v>44584</v>
      </c>
    </row>
    <row r="147" spans="1:10" x14ac:dyDescent="0.3">
      <c r="A147" t="s">
        <v>907</v>
      </c>
      <c r="C147" t="s">
        <v>908</v>
      </c>
      <c r="D147" t="s">
        <v>16</v>
      </c>
      <c r="E147" s="2">
        <v>44585</v>
      </c>
      <c r="G147" t="str">
        <f t="shared" si="4"/>
        <v>The Flash</v>
      </c>
      <c r="H147" t="str">
        <f>IF('Cleaned-data'!C147="unknown","Unknown",PROPER(TRIM('Cleaned-data'!C147)))</f>
        <v>Glen Winter</v>
      </c>
      <c r="I147" t="str">
        <f t="shared" si="5"/>
        <v>United States</v>
      </c>
      <c r="J147" s="2">
        <v>44585</v>
      </c>
    </row>
    <row r="148" spans="1:10" x14ac:dyDescent="0.3">
      <c r="A148" t="s">
        <v>913</v>
      </c>
      <c r="C148" t="s">
        <v>2963</v>
      </c>
      <c r="D148" t="s">
        <v>16</v>
      </c>
      <c r="E148" s="2">
        <v>44586</v>
      </c>
      <c r="G148" t="str">
        <f t="shared" si="4"/>
        <v>How to Sell Drugs Online (Fast)</v>
      </c>
      <c r="H148" t="str">
        <f>IF('Cleaned-data'!C148="unknown","Unknown",PROPER(TRIM('Cleaned-data'!C148)))</f>
        <v>Unknown</v>
      </c>
      <c r="I148" t="str">
        <f t="shared" si="5"/>
        <v>United States</v>
      </c>
      <c r="J148" s="2">
        <v>44586</v>
      </c>
    </row>
    <row r="149" spans="1:10" x14ac:dyDescent="0.3">
      <c r="A149" t="s">
        <v>919</v>
      </c>
      <c r="C149" t="s">
        <v>920</v>
      </c>
      <c r="D149" t="s">
        <v>16</v>
      </c>
      <c r="E149" s="2">
        <v>44587</v>
      </c>
      <c r="G149" t="str">
        <f t="shared" si="4"/>
        <v>Plastic Cup Boyz: Laughing My Mask Off!</v>
      </c>
      <c r="H149" t="str">
        <f>IF('Cleaned-data'!C149="unknown","Unknown",PROPER(TRIM('Cleaned-data'!C149)))</f>
        <v>Royale Watkins, Rich Schlansker</v>
      </c>
      <c r="I149" t="str">
        <f t="shared" si="5"/>
        <v>United States</v>
      </c>
      <c r="J149" s="2">
        <v>44587</v>
      </c>
    </row>
    <row r="150" spans="1:10" x14ac:dyDescent="0.3">
      <c r="A150" t="s">
        <v>925</v>
      </c>
      <c r="C150" t="s">
        <v>2963</v>
      </c>
      <c r="D150" t="s">
        <v>16</v>
      </c>
      <c r="E150" s="2">
        <v>44588</v>
      </c>
      <c r="G150" t="str">
        <f t="shared" si="4"/>
        <v>The Walking Dead</v>
      </c>
      <c r="H150" t="str">
        <f>IF('Cleaned-data'!C150="unknown","Unknown",PROPER(TRIM('Cleaned-data'!C150)))</f>
        <v>Unknown</v>
      </c>
      <c r="I150" t="str">
        <f t="shared" si="5"/>
        <v>United States</v>
      </c>
      <c r="J150" s="2">
        <v>44588</v>
      </c>
    </row>
    <row r="151" spans="1:10" x14ac:dyDescent="0.3">
      <c r="A151" t="s">
        <v>931</v>
      </c>
      <c r="C151" t="s">
        <v>932</v>
      </c>
      <c r="D151" t="s">
        <v>16</v>
      </c>
      <c r="E151" s="2">
        <v>44589</v>
      </c>
      <c r="G151" t="str">
        <f t="shared" si="4"/>
        <v>A Second Chance: Rivals!</v>
      </c>
      <c r="H151" t="str">
        <f>IF('Cleaned-data'!C151="unknown","Unknown",PROPER(TRIM('Cleaned-data'!C151)))</f>
        <v>Clay Glen</v>
      </c>
      <c r="I151" t="str">
        <f t="shared" si="5"/>
        <v>United States</v>
      </c>
      <c r="J151" s="2">
        <v>44589</v>
      </c>
    </row>
    <row r="152" spans="1:10" x14ac:dyDescent="0.3">
      <c r="A152" t="s">
        <v>937</v>
      </c>
      <c r="C152" t="s">
        <v>2963</v>
      </c>
      <c r="D152" t="s">
        <v>16</v>
      </c>
      <c r="E152" s="2">
        <v>44590</v>
      </c>
      <c r="G152" t="str">
        <f t="shared" si="4"/>
        <v>Masters of the Universe: Revelation</v>
      </c>
      <c r="H152" t="str">
        <f>IF('Cleaned-data'!C152="unknown","Unknown",PROPER(TRIM('Cleaned-data'!C152)))</f>
        <v>Unknown</v>
      </c>
      <c r="I152" t="str">
        <f t="shared" si="5"/>
        <v>United States</v>
      </c>
      <c r="J152" s="2">
        <v>44590</v>
      </c>
    </row>
    <row r="153" spans="1:10" x14ac:dyDescent="0.3">
      <c r="A153" t="s">
        <v>942</v>
      </c>
      <c r="C153" t="s">
        <v>2963</v>
      </c>
      <c r="D153" t="s">
        <v>16</v>
      </c>
      <c r="E153" s="2">
        <v>44591</v>
      </c>
      <c r="G153" t="str">
        <f t="shared" si="4"/>
        <v>Revelations: The Masters of the Universe: Revelation Aftershow</v>
      </c>
      <c r="H153" t="str">
        <f>IF('Cleaned-data'!C153="unknown","Unknown",PROPER(TRIM('Cleaned-data'!C153)))</f>
        <v>Unknown</v>
      </c>
      <c r="I153" t="str">
        <f t="shared" si="5"/>
        <v>United States</v>
      </c>
      <c r="J153" s="2">
        <v>44591</v>
      </c>
    </row>
    <row r="154" spans="1:10" x14ac:dyDescent="0.3">
      <c r="A154" t="s">
        <v>947</v>
      </c>
      <c r="C154" t="s">
        <v>2963</v>
      </c>
      <c r="D154" t="s">
        <v>16</v>
      </c>
      <c r="E154" s="2">
        <v>44592</v>
      </c>
      <c r="G154" t="str">
        <f t="shared" si="4"/>
        <v>Chicago Med</v>
      </c>
      <c r="H154" t="str">
        <f>IF('Cleaned-data'!C154="unknown","Unknown",PROPER(TRIM('Cleaned-data'!C154)))</f>
        <v>Unknown</v>
      </c>
      <c r="I154" t="str">
        <f t="shared" si="5"/>
        <v>United States</v>
      </c>
      <c r="J154" s="2">
        <v>44592</v>
      </c>
    </row>
    <row r="155" spans="1:10" x14ac:dyDescent="0.3">
      <c r="A155" t="s">
        <v>952</v>
      </c>
      <c r="C155" t="s">
        <v>953</v>
      </c>
      <c r="D155" t="s">
        <v>16</v>
      </c>
      <c r="E155" s="2">
        <v>44593</v>
      </c>
      <c r="G155" t="str">
        <f t="shared" si="4"/>
        <v>Words Bubble Up Like Soda Pop</v>
      </c>
      <c r="H155" t="str">
        <f>IF('Cleaned-data'!C155="unknown","Unknown",PROPER(TRIM('Cleaned-data'!C155)))</f>
        <v>Kyohei Ishiguro</v>
      </c>
      <c r="I155" t="str">
        <f t="shared" si="5"/>
        <v>United States</v>
      </c>
      <c r="J155" s="2">
        <v>44593</v>
      </c>
    </row>
    <row r="156" spans="1:10" x14ac:dyDescent="0.3">
      <c r="A156" t="s">
        <v>958</v>
      </c>
      <c r="C156" t="s">
        <v>2963</v>
      </c>
      <c r="D156" t="s">
        <v>16</v>
      </c>
      <c r="E156" s="2">
        <v>44594</v>
      </c>
      <c r="G156" t="str">
        <f t="shared" si="4"/>
        <v>Okupas</v>
      </c>
      <c r="H156" t="str">
        <f>IF('Cleaned-data'!C156="unknown","Unknown",PROPER(TRIM('Cleaned-data'!C156)))</f>
        <v>Unknown</v>
      </c>
      <c r="I156" t="str">
        <f t="shared" si="5"/>
        <v>United States</v>
      </c>
      <c r="J156" s="2">
        <v>44594</v>
      </c>
    </row>
    <row r="157" spans="1:10" x14ac:dyDescent="0.3">
      <c r="A157" t="s">
        <v>963</v>
      </c>
      <c r="C157" t="s">
        <v>2963</v>
      </c>
      <c r="D157" t="s">
        <v>16</v>
      </c>
      <c r="E157" s="2">
        <v>44595</v>
      </c>
      <c r="G157" t="str">
        <f t="shared" si="4"/>
        <v>Touch Your Heart</v>
      </c>
      <c r="H157" t="str">
        <f>IF('Cleaned-data'!C157="unknown","Unknown",PROPER(TRIM('Cleaned-data'!C157)))</f>
        <v>Unknown</v>
      </c>
      <c r="I157" t="str">
        <f t="shared" si="5"/>
        <v>United States</v>
      </c>
      <c r="J157" s="2">
        <v>44595</v>
      </c>
    </row>
    <row r="158" spans="1:10" x14ac:dyDescent="0.3">
      <c r="A158" t="s">
        <v>968</v>
      </c>
      <c r="C158" t="s">
        <v>969</v>
      </c>
      <c r="D158" t="s">
        <v>16</v>
      </c>
      <c r="E158" s="2">
        <v>44596</v>
      </c>
      <c r="G158" t="str">
        <f t="shared" si="4"/>
        <v>Fear Street Part 3: 1666</v>
      </c>
      <c r="H158" t="str">
        <f>IF('Cleaned-data'!C158="unknown","Unknown",PROPER(TRIM('Cleaned-data'!C158)))</f>
        <v>Leigh Janiak</v>
      </c>
      <c r="I158" t="str">
        <f t="shared" si="5"/>
        <v>United States</v>
      </c>
      <c r="J158" s="2">
        <v>44596</v>
      </c>
    </row>
    <row r="159" spans="1:10" x14ac:dyDescent="0.3">
      <c r="A159" t="s">
        <v>974</v>
      </c>
      <c r="C159" t="s">
        <v>975</v>
      </c>
      <c r="D159" t="s">
        <v>16</v>
      </c>
      <c r="E159" s="2">
        <v>44597</v>
      </c>
      <c r="G159" t="str">
        <f t="shared" si="4"/>
        <v>Twilight</v>
      </c>
      <c r="H159" t="str">
        <f>IF('Cleaned-data'!C159="unknown","Unknown",PROPER(TRIM('Cleaned-data'!C159)))</f>
        <v>Catherine Hardwicke</v>
      </c>
      <c r="I159" t="str">
        <f t="shared" si="5"/>
        <v>United States</v>
      </c>
      <c r="J159" s="2">
        <v>44597</v>
      </c>
    </row>
    <row r="160" spans="1:10" x14ac:dyDescent="0.3">
      <c r="A160" t="s">
        <v>980</v>
      </c>
      <c r="C160" t="s">
        <v>981</v>
      </c>
      <c r="D160" t="s">
        <v>16</v>
      </c>
      <c r="E160" s="2">
        <v>44598</v>
      </c>
      <c r="G160" t="str">
        <f t="shared" si="4"/>
        <v>Emicida: AmarElo - Live in SÃ£o Paulo</v>
      </c>
      <c r="H160" t="str">
        <f>IF('Cleaned-data'!C160="unknown","Unknown",PROPER(TRIM('Cleaned-data'!C160)))</f>
        <v>Fred Ouro Preto</v>
      </c>
      <c r="I160" t="str">
        <f t="shared" si="5"/>
        <v>United States</v>
      </c>
      <c r="J160" s="2">
        <v>44598</v>
      </c>
    </row>
    <row r="161" spans="1:10" x14ac:dyDescent="0.3">
      <c r="A161" t="s">
        <v>986</v>
      </c>
      <c r="C161" t="s">
        <v>2963</v>
      </c>
      <c r="D161" t="s">
        <v>16</v>
      </c>
      <c r="E161" s="2">
        <v>44599</v>
      </c>
      <c r="G161" t="str">
        <f t="shared" si="4"/>
        <v>Never Have I Ever</v>
      </c>
      <c r="H161" t="str">
        <f>IF('Cleaned-data'!C161="unknown","Unknown",PROPER(TRIM('Cleaned-data'!C161)))</f>
        <v>Unknown</v>
      </c>
      <c r="I161" t="str">
        <f t="shared" si="5"/>
        <v>United States</v>
      </c>
      <c r="J161" s="2">
        <v>44599</v>
      </c>
    </row>
    <row r="162" spans="1:10" x14ac:dyDescent="0.3">
      <c r="A162" t="s">
        <v>991</v>
      </c>
      <c r="C162" t="s">
        <v>992</v>
      </c>
      <c r="D162" t="s">
        <v>16</v>
      </c>
      <c r="E162" s="2">
        <v>44600</v>
      </c>
      <c r="G162" t="str">
        <f t="shared" si="4"/>
        <v>Surf's Up</v>
      </c>
      <c r="H162" t="str">
        <f>IF('Cleaned-data'!C162="unknown","Unknown",PROPER(TRIM('Cleaned-data'!C162)))</f>
        <v>Ash Brannon, Chris Buck</v>
      </c>
      <c r="I162" t="str">
        <f t="shared" si="5"/>
        <v>United States</v>
      </c>
      <c r="J162" s="2">
        <v>44600</v>
      </c>
    </row>
    <row r="163" spans="1:10" x14ac:dyDescent="0.3">
      <c r="A163" t="s">
        <v>997</v>
      </c>
      <c r="C163" t="s">
        <v>998</v>
      </c>
      <c r="D163" t="s">
        <v>16</v>
      </c>
      <c r="E163" s="2">
        <v>44601</v>
      </c>
      <c r="G163" t="str">
        <f t="shared" si="4"/>
        <v>Day of Destiny</v>
      </c>
      <c r="H163" t="str">
        <f>IF('Cleaned-data'!C163="unknown","Unknown",PROPER(TRIM('Cleaned-data'!C163)))</f>
        <v>Akay Mason, Abosi Ogba</v>
      </c>
      <c r="I163" t="str">
        <f t="shared" si="5"/>
        <v>United States</v>
      </c>
      <c r="J163" s="2">
        <v>44601</v>
      </c>
    </row>
    <row r="164" spans="1:10" x14ac:dyDescent="0.3">
      <c r="A164" t="s">
        <v>1003</v>
      </c>
      <c r="C164" t="s">
        <v>1004</v>
      </c>
      <c r="D164" t="s">
        <v>16</v>
      </c>
      <c r="E164" s="2">
        <v>44602</v>
      </c>
      <c r="G164" t="str">
        <f t="shared" si="4"/>
        <v>The Tour</v>
      </c>
      <c r="H164" t="str">
        <f>IF('Cleaned-data'!C164="unknown","Unknown",PROPER(TRIM('Cleaned-data'!C164)))</f>
        <v>Juraj Å Ajmoviä</v>
      </c>
      <c r="I164" t="str">
        <f t="shared" si="5"/>
        <v>United States</v>
      </c>
      <c r="J164" s="2">
        <v>44602</v>
      </c>
    </row>
    <row r="165" spans="1:10" x14ac:dyDescent="0.3">
      <c r="A165" t="s">
        <v>1010</v>
      </c>
      <c r="C165" t="s">
        <v>2963</v>
      </c>
      <c r="D165" t="s">
        <v>16</v>
      </c>
      <c r="E165" s="2">
        <v>44603</v>
      </c>
      <c r="G165" t="str">
        <f t="shared" si="4"/>
        <v>Virgin River</v>
      </c>
      <c r="H165" t="str">
        <f>IF('Cleaned-data'!C165="unknown","Unknown",PROPER(TRIM('Cleaned-data'!C165)))</f>
        <v>Unknown</v>
      </c>
      <c r="I165" t="str">
        <f t="shared" si="5"/>
        <v>United States</v>
      </c>
      <c r="J165" s="2">
        <v>44603</v>
      </c>
    </row>
    <row r="166" spans="1:10" x14ac:dyDescent="0.3">
      <c r="A166" t="s">
        <v>1015</v>
      </c>
      <c r="C166" t="s">
        <v>2963</v>
      </c>
      <c r="D166" t="s">
        <v>16</v>
      </c>
      <c r="E166" s="2">
        <v>44604</v>
      </c>
      <c r="G166" t="str">
        <f t="shared" si="4"/>
        <v>RESIDENT EVIL: Infinite Darkness</v>
      </c>
      <c r="H166" t="str">
        <f>IF('Cleaned-data'!C166="unknown","Unknown",PROPER(TRIM('Cleaned-data'!C166)))</f>
        <v>Unknown</v>
      </c>
      <c r="I166" t="str">
        <f t="shared" si="5"/>
        <v>United States</v>
      </c>
      <c r="J166" s="2">
        <v>44604</v>
      </c>
    </row>
    <row r="167" spans="1:10" x14ac:dyDescent="0.3">
      <c r="A167" t="s">
        <v>1020</v>
      </c>
      <c r="C167" t="s">
        <v>1021</v>
      </c>
      <c r="D167" t="s">
        <v>16</v>
      </c>
      <c r="E167" s="2">
        <v>44605</v>
      </c>
      <c r="G167" t="str">
        <f t="shared" si="4"/>
        <v>This Little Love Of Mine</v>
      </c>
      <c r="H167" t="str">
        <f>IF('Cleaned-data'!C167="unknown","Unknown",PROPER(TRIM('Cleaned-data'!C167)))</f>
        <v>Christine Luby</v>
      </c>
      <c r="I167" t="str">
        <f t="shared" si="5"/>
        <v>United States</v>
      </c>
      <c r="J167" s="2">
        <v>44605</v>
      </c>
    </row>
    <row r="168" spans="1:10" x14ac:dyDescent="0.3">
      <c r="A168" t="s">
        <v>1026</v>
      </c>
      <c r="C168" t="s">
        <v>2963</v>
      </c>
      <c r="D168" t="s">
        <v>16</v>
      </c>
      <c r="E168" s="2">
        <v>44606</v>
      </c>
      <c r="G168" t="str">
        <f t="shared" si="4"/>
        <v>Colony</v>
      </c>
      <c r="H168" t="str">
        <f>IF('Cleaned-data'!C168="unknown","Unknown",PROPER(TRIM('Cleaned-data'!C168)))</f>
        <v>Unknown</v>
      </c>
      <c r="I168" t="str">
        <f t="shared" si="5"/>
        <v>United States</v>
      </c>
      <c r="J168" s="2">
        <v>44606</v>
      </c>
    </row>
    <row r="169" spans="1:10" x14ac:dyDescent="0.3">
      <c r="A169" t="s">
        <v>1032</v>
      </c>
      <c r="C169" t="s">
        <v>2963</v>
      </c>
      <c r="D169" t="s">
        <v>16</v>
      </c>
      <c r="E169" s="2">
        <v>44607</v>
      </c>
      <c r="G169" t="str">
        <f t="shared" si="4"/>
        <v>Larva</v>
      </c>
      <c r="H169" t="str">
        <f>IF('Cleaned-data'!C169="unknown","Unknown",PROPER(TRIM('Cleaned-data'!C169)))</f>
        <v>Unknown</v>
      </c>
      <c r="I169" t="str">
        <f t="shared" si="5"/>
        <v>United States</v>
      </c>
      <c r="J169" s="2">
        <v>44607</v>
      </c>
    </row>
    <row r="170" spans="1:10" x14ac:dyDescent="0.3">
      <c r="A170" t="s">
        <v>1036</v>
      </c>
      <c r="C170" t="s">
        <v>2963</v>
      </c>
      <c r="D170" t="s">
        <v>16</v>
      </c>
      <c r="E170" s="2">
        <v>44608</v>
      </c>
      <c r="G170" t="str">
        <f t="shared" si="4"/>
        <v>Marcella</v>
      </c>
      <c r="H170" t="str">
        <f>IF('Cleaned-data'!C170="unknown","Unknown",PROPER(TRIM('Cleaned-data'!C170)))</f>
        <v>Unknown</v>
      </c>
      <c r="I170" t="str">
        <f t="shared" si="5"/>
        <v>United States</v>
      </c>
      <c r="J170" s="2">
        <v>44608</v>
      </c>
    </row>
    <row r="171" spans="1:10" x14ac:dyDescent="0.3">
      <c r="A171" t="s">
        <v>1042</v>
      </c>
      <c r="C171" t="s">
        <v>2963</v>
      </c>
      <c r="D171" t="s">
        <v>16</v>
      </c>
      <c r="E171" s="2">
        <v>44609</v>
      </c>
      <c r="G171" t="str">
        <f t="shared" si="4"/>
        <v>Scream</v>
      </c>
      <c r="H171" t="str">
        <f>IF('Cleaned-data'!C171="unknown","Unknown",PROPER(TRIM('Cleaned-data'!C171)))</f>
        <v>Unknown</v>
      </c>
      <c r="I171" t="str">
        <f t="shared" si="5"/>
        <v>United States</v>
      </c>
      <c r="J171" s="2">
        <v>44609</v>
      </c>
    </row>
    <row r="172" spans="1:10" x14ac:dyDescent="0.3">
      <c r="A172" t="s">
        <v>1047</v>
      </c>
      <c r="C172" t="s">
        <v>2963</v>
      </c>
      <c r="D172" t="s">
        <v>16</v>
      </c>
      <c r="E172" s="2">
        <v>44610</v>
      </c>
      <c r="G172" t="str">
        <f t="shared" si="4"/>
        <v>Tales by Light</v>
      </c>
      <c r="H172" t="str">
        <f>IF('Cleaned-data'!C172="unknown","Unknown",PROPER(TRIM('Cleaned-data'!C172)))</f>
        <v>Unknown</v>
      </c>
      <c r="I172" t="str">
        <f t="shared" si="5"/>
        <v>United States</v>
      </c>
      <c r="J172" s="2">
        <v>44610</v>
      </c>
    </row>
    <row r="173" spans="1:10" x14ac:dyDescent="0.3">
      <c r="A173" t="s">
        <v>1052</v>
      </c>
      <c r="C173" t="s">
        <v>2963</v>
      </c>
      <c r="D173" t="s">
        <v>16</v>
      </c>
      <c r="E173" s="2">
        <v>44611</v>
      </c>
      <c r="G173" t="str">
        <f t="shared" si="4"/>
        <v>The A List</v>
      </c>
      <c r="H173" t="str">
        <f>IF('Cleaned-data'!C173="unknown","Unknown",PROPER(TRIM('Cleaned-data'!C173)))</f>
        <v>Unknown</v>
      </c>
      <c r="I173" t="str">
        <f t="shared" si="5"/>
        <v>United States</v>
      </c>
      <c r="J173" s="2">
        <v>44611</v>
      </c>
    </row>
    <row r="174" spans="1:10" x14ac:dyDescent="0.3">
      <c r="A174" t="s">
        <v>1057</v>
      </c>
      <c r="C174" t="s">
        <v>2963</v>
      </c>
      <c r="D174" t="s">
        <v>16</v>
      </c>
      <c r="E174" s="2">
        <v>44612</v>
      </c>
      <c r="G174" t="str">
        <f t="shared" si="4"/>
        <v>The New Legends of Monkey</v>
      </c>
      <c r="H174" t="str">
        <f>IF('Cleaned-data'!C174="unknown","Unknown",PROPER(TRIM('Cleaned-data'!C174)))</f>
        <v>Unknown</v>
      </c>
      <c r="I174" t="str">
        <f t="shared" si="5"/>
        <v>United States</v>
      </c>
      <c r="J174" s="2">
        <v>44612</v>
      </c>
    </row>
    <row r="175" spans="1:10" x14ac:dyDescent="0.3">
      <c r="A175" t="s">
        <v>1062</v>
      </c>
      <c r="C175" t="s">
        <v>1063</v>
      </c>
      <c r="D175" t="s">
        <v>16</v>
      </c>
      <c r="E175" s="2">
        <v>44613</v>
      </c>
      <c r="G175" t="str">
        <f t="shared" si="4"/>
        <v>Haseen Dillruba</v>
      </c>
      <c r="H175" t="str">
        <f>IF('Cleaned-data'!C175="unknown","Unknown",PROPER(TRIM('Cleaned-data'!C175)))</f>
        <v>Vinil Mathew</v>
      </c>
      <c r="I175" t="str">
        <f t="shared" si="5"/>
        <v>United States</v>
      </c>
      <c r="J175" s="2">
        <v>44613</v>
      </c>
    </row>
    <row r="176" spans="1:10" x14ac:dyDescent="0.3">
      <c r="A176" t="s">
        <v>1068</v>
      </c>
      <c r="C176" t="s">
        <v>1069</v>
      </c>
      <c r="D176" t="s">
        <v>16</v>
      </c>
      <c r="E176" s="2">
        <v>44614</v>
      </c>
      <c r="G176" t="str">
        <f t="shared" si="4"/>
        <v>Snowpiercer</v>
      </c>
      <c r="H176" t="str">
        <f>IF('Cleaned-data'!C176="unknown","Unknown",PROPER(TRIM('Cleaned-data'!C176)))</f>
        <v>Bong Joon Ho</v>
      </c>
      <c r="I176" t="str">
        <f t="shared" si="5"/>
        <v>United States</v>
      </c>
      <c r="J176" s="2">
        <v>44614</v>
      </c>
    </row>
    <row r="177" spans="1:10" x14ac:dyDescent="0.3">
      <c r="A177" t="s">
        <v>1076</v>
      </c>
      <c r="C177" t="s">
        <v>1074</v>
      </c>
      <c r="D177" t="s">
        <v>16</v>
      </c>
      <c r="E177" s="2">
        <v>44615</v>
      </c>
      <c r="G177" t="str">
        <f t="shared" si="4"/>
        <v>Austin Powers: The Spy Who Shagged Me</v>
      </c>
      <c r="H177" t="str">
        <f>IF('Cleaned-data'!C177="unknown","Unknown",PROPER(TRIM('Cleaned-data'!C177)))</f>
        <v>Jay Roach</v>
      </c>
      <c r="I177" t="str">
        <f t="shared" si="5"/>
        <v>United States</v>
      </c>
      <c r="J177" s="2">
        <v>44615</v>
      </c>
    </row>
    <row r="178" spans="1:10" x14ac:dyDescent="0.3">
      <c r="A178" t="s">
        <v>1081</v>
      </c>
      <c r="C178" t="s">
        <v>2963</v>
      </c>
      <c r="D178" t="s">
        <v>16</v>
      </c>
      <c r="E178" s="2">
        <v>44616</v>
      </c>
      <c r="G178" t="str">
        <f t="shared" si="4"/>
        <v>Bureau of Magical Things</v>
      </c>
      <c r="H178" t="str">
        <f>IF('Cleaned-data'!C178="unknown","Unknown",PROPER(TRIM('Cleaned-data'!C178)))</f>
        <v>Unknown</v>
      </c>
      <c r="I178" t="str">
        <f t="shared" si="5"/>
        <v>United States</v>
      </c>
      <c r="J178" s="2">
        <v>44616</v>
      </c>
    </row>
    <row r="179" spans="1:10" x14ac:dyDescent="0.3">
      <c r="A179" t="s">
        <v>1087</v>
      </c>
      <c r="C179" t="s">
        <v>1088</v>
      </c>
      <c r="D179" t="s">
        <v>16</v>
      </c>
      <c r="E179" s="2">
        <v>44617</v>
      </c>
      <c r="G179" t="str">
        <f t="shared" si="4"/>
        <v>Congo</v>
      </c>
      <c r="H179" t="str">
        <f>IF('Cleaned-data'!C179="unknown","Unknown",PROPER(TRIM('Cleaned-data'!C179)))</f>
        <v>Frank Marshall</v>
      </c>
      <c r="I179" t="str">
        <f t="shared" si="5"/>
        <v>United States</v>
      </c>
      <c r="J179" s="2">
        <v>44617</v>
      </c>
    </row>
    <row r="180" spans="1:10" x14ac:dyDescent="0.3">
      <c r="A180" t="s">
        <v>1093</v>
      </c>
      <c r="C180" t="s">
        <v>1094</v>
      </c>
      <c r="D180" t="s">
        <v>16</v>
      </c>
      <c r="E180" s="2">
        <v>44618</v>
      </c>
      <c r="G180" t="str">
        <f t="shared" si="4"/>
        <v>Mary Magdalene</v>
      </c>
      <c r="H180" t="str">
        <f>IF('Cleaned-data'!C180="unknown","Unknown",PROPER(TRIM('Cleaned-data'!C180)))</f>
        <v>Garth Davis</v>
      </c>
      <c r="I180" t="str">
        <f t="shared" si="5"/>
        <v>United States</v>
      </c>
      <c r="J180" s="2">
        <v>44618</v>
      </c>
    </row>
    <row r="181" spans="1:10" x14ac:dyDescent="0.3">
      <c r="A181" t="s">
        <v>1099</v>
      </c>
      <c r="C181" t="s">
        <v>1100</v>
      </c>
      <c r="D181" t="s">
        <v>16</v>
      </c>
      <c r="E181" s="2">
        <v>44619</v>
      </c>
      <c r="G181" t="str">
        <f t="shared" si="4"/>
        <v>Midnight Run</v>
      </c>
      <c r="H181" t="str">
        <f>IF('Cleaned-data'!C181="unknown","Unknown",PROPER(TRIM('Cleaned-data'!C181)))</f>
        <v>Martin Brest</v>
      </c>
      <c r="I181" t="str">
        <f t="shared" si="5"/>
        <v>United States</v>
      </c>
      <c r="J181" s="2">
        <v>44619</v>
      </c>
    </row>
    <row r="182" spans="1:10" x14ac:dyDescent="0.3">
      <c r="A182" t="s">
        <v>1106</v>
      </c>
      <c r="C182" t="s">
        <v>1107</v>
      </c>
      <c r="D182" t="s">
        <v>16</v>
      </c>
      <c r="E182" s="2">
        <v>44620</v>
      </c>
      <c r="G182" t="str">
        <f t="shared" si="4"/>
        <v>Talladega Nights: The Ballad of Ricky Bobby</v>
      </c>
      <c r="H182" t="str">
        <f>IF('Cleaned-data'!C182="unknown","Unknown",PROPER(TRIM('Cleaned-data'!C182)))</f>
        <v>Adam Mckay</v>
      </c>
      <c r="I182" t="str">
        <f t="shared" si="5"/>
        <v>United States</v>
      </c>
      <c r="J182" s="2">
        <v>44620</v>
      </c>
    </row>
    <row r="183" spans="1:10" x14ac:dyDescent="0.3">
      <c r="A183" t="s">
        <v>1113</v>
      </c>
      <c r="C183" t="s">
        <v>1114</v>
      </c>
      <c r="D183" t="s">
        <v>16</v>
      </c>
      <c r="E183" s="2">
        <v>44621</v>
      </c>
      <c r="G183" t="str">
        <f t="shared" si="4"/>
        <v>The Karate Kid</v>
      </c>
      <c r="H183" t="str">
        <f>IF('Cleaned-data'!C183="unknown","Unknown",PROPER(TRIM('Cleaned-data'!C183)))</f>
        <v>John G. Avildsen</v>
      </c>
      <c r="I183" t="str">
        <f t="shared" si="5"/>
        <v>United States</v>
      </c>
      <c r="J183" s="2">
        <v>44621</v>
      </c>
    </row>
    <row r="184" spans="1:10" x14ac:dyDescent="0.3">
      <c r="A184" t="s">
        <v>1119</v>
      </c>
      <c r="C184" t="s">
        <v>1114</v>
      </c>
      <c r="D184" t="s">
        <v>16</v>
      </c>
      <c r="E184" s="2">
        <v>44622</v>
      </c>
      <c r="G184" t="str">
        <f t="shared" si="4"/>
        <v>The Karate Kid Part II</v>
      </c>
      <c r="H184" t="str">
        <f>IF('Cleaned-data'!C184="unknown","Unknown",PROPER(TRIM('Cleaned-data'!C184)))</f>
        <v>John G. Avildsen</v>
      </c>
      <c r="I184" t="str">
        <f t="shared" si="5"/>
        <v>United States</v>
      </c>
      <c r="J184" s="2">
        <v>44622</v>
      </c>
    </row>
    <row r="185" spans="1:10" x14ac:dyDescent="0.3">
      <c r="A185" t="s">
        <v>1124</v>
      </c>
      <c r="C185" t="s">
        <v>1125</v>
      </c>
      <c r="D185" t="s">
        <v>16</v>
      </c>
      <c r="E185" s="2">
        <v>44623</v>
      </c>
      <c r="G185" t="str">
        <f t="shared" si="4"/>
        <v>The Strangers</v>
      </c>
      <c r="H185" t="str">
        <f>IF('Cleaned-data'!C185="unknown","Unknown",PROPER(TRIM('Cleaned-data'!C185)))</f>
        <v>Bryan Bertino</v>
      </c>
      <c r="I185" t="str">
        <f t="shared" si="5"/>
        <v>United States</v>
      </c>
      <c r="J185" s="2">
        <v>44623</v>
      </c>
    </row>
    <row r="186" spans="1:10" x14ac:dyDescent="0.3">
      <c r="A186" t="s">
        <v>1130</v>
      </c>
      <c r="C186" t="s">
        <v>1131</v>
      </c>
      <c r="D186" t="s">
        <v>16</v>
      </c>
      <c r="E186" s="2">
        <v>44624</v>
      </c>
      <c r="G186" t="str">
        <f t="shared" si="4"/>
        <v>The Tourist</v>
      </c>
      <c r="H186" t="str">
        <f>IF('Cleaned-data'!C186="unknown","Unknown",PROPER(TRIM('Cleaned-data'!C186)))</f>
        <v>Florian Henckel Von Donnersmarck</v>
      </c>
      <c r="I186" t="str">
        <f t="shared" si="5"/>
        <v>United States</v>
      </c>
      <c r="J186" s="2">
        <v>44624</v>
      </c>
    </row>
    <row r="187" spans="1:10" x14ac:dyDescent="0.3">
      <c r="A187" t="s">
        <v>1136</v>
      </c>
      <c r="C187" t="s">
        <v>1137</v>
      </c>
      <c r="D187" t="s">
        <v>16</v>
      </c>
      <c r="E187" s="2">
        <v>44625</v>
      </c>
      <c r="G187" t="str">
        <f t="shared" si="4"/>
        <v>What Dreams May Come</v>
      </c>
      <c r="H187" t="str">
        <f>IF('Cleaned-data'!C187="unknown","Unknown",PROPER(TRIM('Cleaned-data'!C187)))</f>
        <v>Vincent Ward</v>
      </c>
      <c r="I187" t="str">
        <f t="shared" si="5"/>
        <v>United States</v>
      </c>
      <c r="J187" s="2">
        <v>44625</v>
      </c>
    </row>
    <row r="188" spans="1:10" x14ac:dyDescent="0.3">
      <c r="A188" t="s">
        <v>1142</v>
      </c>
      <c r="C188" t="s">
        <v>1143</v>
      </c>
      <c r="D188" t="s">
        <v>16</v>
      </c>
      <c r="E188" s="2">
        <v>44626</v>
      </c>
      <c r="G188" t="str">
        <f t="shared" si="4"/>
        <v>Why Do Fools Fall in Love</v>
      </c>
      <c r="H188" t="str">
        <f>IF('Cleaned-data'!C188="unknown","Unknown",PROPER(TRIM('Cleaned-data'!C188)))</f>
        <v>Gregory Nava</v>
      </c>
      <c r="I188" t="str">
        <f t="shared" si="5"/>
        <v>United States</v>
      </c>
      <c r="J188" s="2">
        <v>44626</v>
      </c>
    </row>
    <row r="189" spans="1:10" x14ac:dyDescent="0.3">
      <c r="A189" t="s">
        <v>1149</v>
      </c>
      <c r="C189" t="s">
        <v>1150</v>
      </c>
      <c r="D189" t="s">
        <v>16</v>
      </c>
      <c r="E189" s="2">
        <v>44627</v>
      </c>
      <c r="G189" t="str">
        <f t="shared" si="4"/>
        <v>LegendÂ ofÂ Exorcism</v>
      </c>
      <c r="H189" t="str">
        <f>IF('Cleaned-data'!C189="unknown","Unknown",PROPER(TRIM('Cleaned-data'!C189)))</f>
        <v>Shen Leping</v>
      </c>
      <c r="I189" t="str">
        <f t="shared" si="5"/>
        <v>United States</v>
      </c>
      <c r="J189" s="2">
        <v>44627</v>
      </c>
    </row>
    <row r="190" spans="1:10" x14ac:dyDescent="0.3">
      <c r="A190" t="s">
        <v>1155</v>
      </c>
      <c r="C190" t="s">
        <v>2963</v>
      </c>
      <c r="D190" t="s">
        <v>16</v>
      </c>
      <c r="E190" s="2">
        <v>44628</v>
      </c>
      <c r="G190" t="str">
        <f t="shared" si="4"/>
        <v>Too Hot to Handle</v>
      </c>
      <c r="H190" t="str">
        <f>IF('Cleaned-data'!C190="unknown","Unknown",PROPER(TRIM('Cleaned-data'!C190)))</f>
        <v>Unknown</v>
      </c>
      <c r="I190" t="str">
        <f t="shared" si="5"/>
        <v>United States</v>
      </c>
      <c r="J190" s="2">
        <v>44628</v>
      </c>
    </row>
    <row r="191" spans="1:10" x14ac:dyDescent="0.3">
      <c r="A191" t="s">
        <v>1161</v>
      </c>
      <c r="C191" t="s">
        <v>1159</v>
      </c>
      <c r="D191" t="s">
        <v>16</v>
      </c>
      <c r="E191" s="2">
        <v>44629</v>
      </c>
      <c r="G191" t="str">
        <f t="shared" si="4"/>
        <v>Love Is a Story</v>
      </c>
      <c r="H191" t="str">
        <f>IF('Cleaned-data'!C191="unknown","Unknown",PROPER(TRIM('Cleaned-data'!C191)))</f>
        <v>Cristina Jacob</v>
      </c>
      <c r="I191" t="str">
        <f t="shared" si="5"/>
        <v>United States</v>
      </c>
      <c r="J191" s="2">
        <v>44629</v>
      </c>
    </row>
    <row r="192" spans="1:10" x14ac:dyDescent="0.3">
      <c r="A192" t="s">
        <v>1166</v>
      </c>
      <c r="C192" t="s">
        <v>2963</v>
      </c>
      <c r="D192" t="s">
        <v>16</v>
      </c>
      <c r="E192" s="2">
        <v>44630</v>
      </c>
      <c r="G192" t="str">
        <f t="shared" si="4"/>
        <v>The Mole</v>
      </c>
      <c r="H192" t="str">
        <f>IF('Cleaned-data'!C192="unknown","Unknown",PROPER(TRIM('Cleaned-data'!C192)))</f>
        <v>Unknown</v>
      </c>
      <c r="I192" t="str">
        <f t="shared" si="5"/>
        <v>United States</v>
      </c>
      <c r="J192" s="2">
        <v>44630</v>
      </c>
    </row>
    <row r="193" spans="1:10" x14ac:dyDescent="0.3">
      <c r="A193" t="s">
        <v>1171</v>
      </c>
      <c r="C193" t="s">
        <v>2963</v>
      </c>
      <c r="D193" t="s">
        <v>16</v>
      </c>
      <c r="E193" s="2">
        <v>44631</v>
      </c>
      <c r="G193" t="str">
        <f t="shared" si="4"/>
        <v>Hap and Leonard</v>
      </c>
      <c r="H193" t="str">
        <f>IF('Cleaned-data'!C193="unknown","Unknown",PROPER(TRIM('Cleaned-data'!C193)))</f>
        <v>Unknown</v>
      </c>
      <c r="I193" t="str">
        <f t="shared" si="5"/>
        <v>United States</v>
      </c>
      <c r="J193" s="2">
        <v>44631</v>
      </c>
    </row>
    <row r="194" spans="1:10" x14ac:dyDescent="0.3">
      <c r="A194" t="s">
        <v>1178</v>
      </c>
      <c r="C194" t="s">
        <v>2963</v>
      </c>
      <c r="D194" t="s">
        <v>16</v>
      </c>
      <c r="E194" s="2">
        <v>44632</v>
      </c>
      <c r="G194" t="str">
        <f t="shared" si="4"/>
        <v>No Time for Shame</v>
      </c>
      <c r="H194" t="str">
        <f>IF('Cleaned-data'!C194="unknown","Unknown",PROPER(TRIM('Cleaned-data'!C194)))</f>
        <v>Unknown</v>
      </c>
      <c r="I194" t="str">
        <f t="shared" si="5"/>
        <v>United States</v>
      </c>
      <c r="J194" s="2">
        <v>44632</v>
      </c>
    </row>
    <row r="195" spans="1:10" x14ac:dyDescent="0.3">
      <c r="A195" t="s">
        <v>1183</v>
      </c>
      <c r="C195" t="s">
        <v>2963</v>
      </c>
      <c r="D195" t="s">
        <v>16</v>
      </c>
      <c r="E195" s="2">
        <v>44633</v>
      </c>
      <c r="G195" t="str">
        <f t="shared" ref="G195:G258" si="6">TRIM(A195)</f>
        <v>The Assassination of Gianni Versace</v>
      </c>
      <c r="H195" t="str">
        <f>IF('Cleaned-data'!C195="unknown","Unknown",PROPER(TRIM('Cleaned-data'!C195)))</f>
        <v>Unknown</v>
      </c>
      <c r="I195" t="str">
        <f t="shared" ref="I195:I258" si="7">TRIM(D195)</f>
        <v>United States</v>
      </c>
      <c r="J195" s="2">
        <v>44633</v>
      </c>
    </row>
    <row r="196" spans="1:10" x14ac:dyDescent="0.3">
      <c r="A196" t="s">
        <v>1188</v>
      </c>
      <c r="C196" t="s">
        <v>1189</v>
      </c>
      <c r="D196" t="s">
        <v>16</v>
      </c>
      <c r="E196" s="2">
        <v>44634</v>
      </c>
      <c r="G196" t="str">
        <f t="shared" si="6"/>
        <v>They've Gotta Have Us</v>
      </c>
      <c r="H196" t="str">
        <f>IF('Cleaned-data'!C196="unknown","Unknown",PROPER(TRIM('Cleaned-data'!C196)))</f>
        <v>Simon Frederick</v>
      </c>
      <c r="I196" t="str">
        <f t="shared" si="7"/>
        <v>United States</v>
      </c>
      <c r="J196" s="2">
        <v>44634</v>
      </c>
    </row>
    <row r="197" spans="1:10" x14ac:dyDescent="0.3">
      <c r="A197" t="s">
        <v>1194</v>
      </c>
      <c r="C197" t="s">
        <v>2963</v>
      </c>
      <c r="D197" t="s">
        <v>16</v>
      </c>
      <c r="E197" s="2">
        <v>44635</v>
      </c>
      <c r="G197" t="str">
        <f t="shared" si="6"/>
        <v>Hospital Playlist</v>
      </c>
      <c r="H197" t="str">
        <f>IF('Cleaned-data'!C197="unknown","Unknown",PROPER(TRIM('Cleaned-data'!C197)))</f>
        <v>Unknown</v>
      </c>
      <c r="I197" t="str">
        <f t="shared" si="7"/>
        <v>United States</v>
      </c>
      <c r="J197" s="2">
        <v>44635</v>
      </c>
    </row>
    <row r="198" spans="1:10" x14ac:dyDescent="0.3">
      <c r="A198" t="s">
        <v>1199</v>
      </c>
      <c r="C198" t="s">
        <v>1175</v>
      </c>
      <c r="D198" t="s">
        <v>16</v>
      </c>
      <c r="E198" s="2">
        <v>44636</v>
      </c>
      <c r="G198" t="str">
        <f t="shared" si="6"/>
        <v>Mobile Suit Gundam I</v>
      </c>
      <c r="H198" t="str">
        <f>IF('Cleaned-data'!C198="unknown","Unknown",PROPER(TRIM('Cleaned-data'!C198)))</f>
        <v>Yoshiyuki Tomino, Yoshikazu Yasuhiko</v>
      </c>
      <c r="I198" t="str">
        <f t="shared" si="7"/>
        <v>United States</v>
      </c>
      <c r="J198" s="2">
        <v>44636</v>
      </c>
    </row>
    <row r="199" spans="1:10" x14ac:dyDescent="0.3">
      <c r="A199" t="s">
        <v>1204</v>
      </c>
      <c r="C199" t="s">
        <v>2963</v>
      </c>
      <c r="D199" t="s">
        <v>16</v>
      </c>
      <c r="E199" s="2">
        <v>44637</v>
      </c>
      <c r="G199" t="str">
        <f t="shared" si="6"/>
        <v>Black Summer</v>
      </c>
      <c r="H199" t="str">
        <f>IF('Cleaned-data'!C199="unknown","Unknown",PROPER(TRIM('Cleaned-data'!C199)))</f>
        <v>Unknown</v>
      </c>
      <c r="I199" t="str">
        <f t="shared" si="7"/>
        <v>United States</v>
      </c>
      <c r="J199" s="2">
        <v>44637</v>
      </c>
    </row>
    <row r="200" spans="1:10" x14ac:dyDescent="0.3">
      <c r="A200" t="s">
        <v>1210</v>
      </c>
      <c r="C200" t="s">
        <v>2963</v>
      </c>
      <c r="D200" t="s">
        <v>16</v>
      </c>
      <c r="E200" s="2">
        <v>44638</v>
      </c>
      <c r="G200" t="str">
        <f t="shared" si="6"/>
        <v>Beyond Evil</v>
      </c>
      <c r="H200" t="str">
        <f>IF('Cleaned-data'!C200="unknown","Unknown",PROPER(TRIM('Cleaned-data'!C200)))</f>
        <v>Unknown</v>
      </c>
      <c r="I200" t="str">
        <f t="shared" si="7"/>
        <v>United States</v>
      </c>
      <c r="J200" s="2">
        <v>44638</v>
      </c>
    </row>
    <row r="201" spans="1:10" x14ac:dyDescent="0.3">
      <c r="A201" t="s">
        <v>1216</v>
      </c>
      <c r="C201" t="s">
        <v>1217</v>
      </c>
      <c r="D201" t="s">
        <v>16</v>
      </c>
      <c r="E201" s="2">
        <v>44639</v>
      </c>
      <c r="G201" t="str">
        <f t="shared" si="6"/>
        <v>Trese</v>
      </c>
      <c r="H201" t="str">
        <f>IF('Cleaned-data'!C201="unknown","Unknown",PROPER(TRIM('Cleaned-data'!C201)))</f>
        <v>Jay Oliva</v>
      </c>
      <c r="I201" t="str">
        <f t="shared" si="7"/>
        <v>United States</v>
      </c>
      <c r="J201" s="2">
        <v>44639</v>
      </c>
    </row>
    <row r="202" spans="1:10" x14ac:dyDescent="0.3">
      <c r="A202" t="s">
        <v>1222</v>
      </c>
      <c r="C202" t="s">
        <v>2963</v>
      </c>
      <c r="D202" t="s">
        <v>16</v>
      </c>
      <c r="E202" s="2">
        <v>44640</v>
      </c>
      <c r="G202" t="str">
        <f t="shared" si="6"/>
        <v>Trese After Dark</v>
      </c>
      <c r="H202" t="str">
        <f>IF('Cleaned-data'!C202="unknown","Unknown",PROPER(TRIM('Cleaned-data'!C202)))</f>
        <v>Unknown</v>
      </c>
      <c r="I202" t="str">
        <f t="shared" si="7"/>
        <v>United States</v>
      </c>
      <c r="J202" s="2">
        <v>44640</v>
      </c>
    </row>
    <row r="203" spans="1:10" x14ac:dyDescent="0.3">
      <c r="A203" t="s">
        <v>1226</v>
      </c>
      <c r="C203" t="s">
        <v>1227</v>
      </c>
      <c r="D203" t="s">
        <v>16</v>
      </c>
      <c r="E203" s="2">
        <v>44641</v>
      </c>
      <c r="G203" t="str">
        <f t="shared" si="6"/>
        <v>A Haunted House 2</v>
      </c>
      <c r="H203" t="str">
        <f>IF('Cleaned-data'!C203="unknown","Unknown",PROPER(TRIM('Cleaned-data'!C203)))</f>
        <v>Michael Tiddes</v>
      </c>
      <c r="I203" t="str">
        <f t="shared" si="7"/>
        <v>United States</v>
      </c>
      <c r="J203" s="2">
        <v>44641</v>
      </c>
    </row>
    <row r="204" spans="1:10" x14ac:dyDescent="0.3">
      <c r="A204" t="s">
        <v>1232</v>
      </c>
      <c r="C204" t="s">
        <v>2963</v>
      </c>
      <c r="D204" t="s">
        <v>16</v>
      </c>
      <c r="E204" s="2">
        <v>44642</v>
      </c>
      <c r="G204" t="str">
        <f t="shared" si="6"/>
        <v>Locombianos</v>
      </c>
      <c r="H204" t="str">
        <f>IF('Cleaned-data'!C204="unknown","Unknown",PROPER(TRIM('Cleaned-data'!C204)))</f>
        <v>Unknown</v>
      </c>
      <c r="I204" t="str">
        <f t="shared" si="7"/>
        <v>United States</v>
      </c>
      <c r="J204" s="2">
        <v>44642</v>
      </c>
    </row>
    <row r="205" spans="1:10" x14ac:dyDescent="0.3">
      <c r="A205" t="s">
        <v>1238</v>
      </c>
      <c r="C205" t="s">
        <v>2963</v>
      </c>
      <c r="D205" t="s">
        <v>16</v>
      </c>
      <c r="E205" s="2">
        <v>44643</v>
      </c>
      <c r="G205" t="str">
        <f t="shared" si="6"/>
        <v>Kitty Love: An Homage to Cats</v>
      </c>
      <c r="H205" t="str">
        <f>IF('Cleaned-data'!C205="unknown","Unknown",PROPER(TRIM('Cleaned-data'!C205)))</f>
        <v>Unknown</v>
      </c>
      <c r="I205" t="str">
        <f t="shared" si="7"/>
        <v>United States</v>
      </c>
      <c r="J205" s="2">
        <v>44643</v>
      </c>
    </row>
    <row r="206" spans="1:10" x14ac:dyDescent="0.3">
      <c r="A206" t="s">
        <v>1243</v>
      </c>
      <c r="C206" t="s">
        <v>1244</v>
      </c>
      <c r="D206" t="s">
        <v>16</v>
      </c>
      <c r="E206" s="2">
        <v>44644</v>
      </c>
      <c r="G206" t="str">
        <f t="shared" si="6"/>
        <v>Feel Good</v>
      </c>
      <c r="H206" t="str">
        <f>IF('Cleaned-data'!C206="unknown","Unknown",PROPER(TRIM('Cleaned-data'!C206)))</f>
        <v>Ally Pankiw</v>
      </c>
      <c r="I206" t="str">
        <f t="shared" si="7"/>
        <v>United States</v>
      </c>
      <c r="J206" s="2">
        <v>44644</v>
      </c>
    </row>
    <row r="207" spans="1:10" x14ac:dyDescent="0.3">
      <c r="A207" t="s">
        <v>1249</v>
      </c>
      <c r="C207" t="s">
        <v>1250</v>
      </c>
      <c r="D207" t="s">
        <v>16</v>
      </c>
      <c r="E207" s="2">
        <v>44645</v>
      </c>
      <c r="G207" t="str">
        <f t="shared" si="6"/>
        <v>2 Hearts</v>
      </c>
      <c r="H207" t="str">
        <f>IF('Cleaned-data'!C207="unknown","Unknown",PROPER(TRIM('Cleaned-data'!C207)))</f>
        <v>Lance Hool</v>
      </c>
      <c r="I207" t="str">
        <f t="shared" si="7"/>
        <v>United States</v>
      </c>
      <c r="J207" s="2">
        <v>44645</v>
      </c>
    </row>
    <row r="208" spans="1:10" x14ac:dyDescent="0.3">
      <c r="A208" t="s">
        <v>1255</v>
      </c>
      <c r="C208" t="s">
        <v>1256</v>
      </c>
      <c r="D208" t="s">
        <v>16</v>
      </c>
      <c r="E208" s="2">
        <v>44646</v>
      </c>
      <c r="G208" t="str">
        <f t="shared" si="6"/>
        <v>A Perfect Ending</v>
      </c>
      <c r="H208" t="str">
        <f>IF('Cleaned-data'!C208="unknown","Unknown",PROPER(TRIM('Cleaned-data'!C208)))</f>
        <v>Nicole Conn</v>
      </c>
      <c r="I208" t="str">
        <f t="shared" si="7"/>
        <v>United States</v>
      </c>
      <c r="J208" s="2">
        <v>44646</v>
      </c>
    </row>
    <row r="209" spans="1:10" x14ac:dyDescent="0.3">
      <c r="A209" t="s">
        <v>1261</v>
      </c>
      <c r="C209" t="s">
        <v>1262</v>
      </c>
      <c r="D209" t="s">
        <v>16</v>
      </c>
      <c r="E209" s="2">
        <v>44647</v>
      </c>
      <c r="G209" t="str">
        <f t="shared" si="6"/>
        <v>And Then Came Lola</v>
      </c>
      <c r="H209" t="str">
        <f>IF('Cleaned-data'!C209="unknown","Unknown",PROPER(TRIM('Cleaned-data'!C209)))</f>
        <v>Ellen Seidler, Megan Siler</v>
      </c>
      <c r="I209" t="str">
        <f t="shared" si="7"/>
        <v>United States</v>
      </c>
      <c r="J209" s="2">
        <v>44647</v>
      </c>
    </row>
    <row r="210" spans="1:10" x14ac:dyDescent="0.3">
      <c r="A210" t="s">
        <v>1267</v>
      </c>
      <c r="C210" t="s">
        <v>1268</v>
      </c>
      <c r="D210" t="s">
        <v>16</v>
      </c>
      <c r="E210" s="2">
        <v>44648</v>
      </c>
      <c r="G210" t="str">
        <f t="shared" si="6"/>
        <v>Battlefield Earth</v>
      </c>
      <c r="H210" t="str">
        <f>IF('Cleaned-data'!C210="unknown","Unknown",PROPER(TRIM('Cleaned-data'!C210)))</f>
        <v>Roger Christian</v>
      </c>
      <c r="I210" t="str">
        <f t="shared" si="7"/>
        <v>United States</v>
      </c>
      <c r="J210" s="2">
        <v>44648</v>
      </c>
    </row>
    <row r="211" spans="1:10" x14ac:dyDescent="0.3">
      <c r="A211" t="s">
        <v>1274</v>
      </c>
      <c r="C211" t="s">
        <v>1275</v>
      </c>
      <c r="D211" t="s">
        <v>16</v>
      </c>
      <c r="E211" s="2">
        <v>44649</v>
      </c>
      <c r="G211" t="str">
        <f t="shared" si="6"/>
        <v>Hostel: Part III</v>
      </c>
      <c r="H211" t="str">
        <f>IF('Cleaned-data'!C211="unknown","Unknown",PROPER(TRIM('Cleaned-data'!C211)))</f>
        <v>Scott Spiegel</v>
      </c>
      <c r="I211" t="str">
        <f t="shared" si="7"/>
        <v>United States</v>
      </c>
      <c r="J211" s="2">
        <v>44649</v>
      </c>
    </row>
    <row r="212" spans="1:10" x14ac:dyDescent="0.3">
      <c r="A212" t="s">
        <v>1280</v>
      </c>
      <c r="C212" t="s">
        <v>1281</v>
      </c>
      <c r="D212" t="s">
        <v>16</v>
      </c>
      <c r="E212" s="2">
        <v>44650</v>
      </c>
      <c r="G212" t="str">
        <f t="shared" si="6"/>
        <v>Never Back Down 2: The Beatdown</v>
      </c>
      <c r="H212" t="str">
        <f>IF('Cleaned-data'!C212="unknown","Unknown",PROPER(TRIM('Cleaned-data'!C212)))</f>
        <v>Michael Jai White</v>
      </c>
      <c r="I212" t="str">
        <f t="shared" si="7"/>
        <v>United States</v>
      </c>
      <c r="J212" s="2">
        <v>44650</v>
      </c>
    </row>
    <row r="213" spans="1:10" x14ac:dyDescent="0.3">
      <c r="A213" t="s">
        <v>1286</v>
      </c>
      <c r="C213" t="s">
        <v>1287</v>
      </c>
      <c r="D213" t="s">
        <v>16</v>
      </c>
      <c r="E213" s="2">
        <v>44651</v>
      </c>
      <c r="G213" t="str">
        <f t="shared" si="6"/>
        <v>Ouran High School Host Club</v>
      </c>
      <c r="H213" t="str">
        <f>IF('Cleaned-data'!C213="unknown","Unknown",PROPER(TRIM('Cleaned-data'!C213)))</f>
        <v>Takuya Igarashi</v>
      </c>
      <c r="I213" t="str">
        <f t="shared" si="7"/>
        <v>United States</v>
      </c>
      <c r="J213" s="2">
        <v>44651</v>
      </c>
    </row>
    <row r="214" spans="1:10" x14ac:dyDescent="0.3">
      <c r="A214" t="s">
        <v>1292</v>
      </c>
      <c r="C214" t="s">
        <v>1293</v>
      </c>
      <c r="D214" t="s">
        <v>16</v>
      </c>
      <c r="E214" s="2">
        <v>44652</v>
      </c>
      <c r="G214" t="str">
        <f t="shared" si="6"/>
        <v>The Girl King</v>
      </c>
      <c r="H214" t="str">
        <f>IF('Cleaned-data'!C214="unknown","Unknown",PROPER(TRIM('Cleaned-data'!C214)))</f>
        <v>Mika Kaurismã¤Ki</v>
      </c>
      <c r="I214" t="str">
        <f t="shared" si="7"/>
        <v>United States</v>
      </c>
      <c r="J214" s="2">
        <v>44652</v>
      </c>
    </row>
    <row r="215" spans="1:10" x14ac:dyDescent="0.3">
      <c r="A215" t="s">
        <v>1298</v>
      </c>
      <c r="C215" t="s">
        <v>1299</v>
      </c>
      <c r="D215" t="s">
        <v>16</v>
      </c>
      <c r="E215" s="2">
        <v>44653</v>
      </c>
      <c r="G215" t="str">
        <f t="shared" si="6"/>
        <v>The Wedding Guest</v>
      </c>
      <c r="H215" t="str">
        <f>IF('Cleaned-data'!C215="unknown","Unknown",PROPER(TRIM('Cleaned-data'!C215)))</f>
        <v>Michael Winterbottom</v>
      </c>
      <c r="I215" t="str">
        <f t="shared" si="7"/>
        <v>United States</v>
      </c>
      <c r="J215" s="2">
        <v>44653</v>
      </c>
    </row>
    <row r="216" spans="1:10" x14ac:dyDescent="0.3">
      <c r="A216" t="s">
        <v>1304</v>
      </c>
      <c r="C216" t="s">
        <v>1305</v>
      </c>
      <c r="D216" t="s">
        <v>16</v>
      </c>
      <c r="E216" s="2">
        <v>44654</v>
      </c>
      <c r="G216" t="str">
        <f t="shared" si="6"/>
        <v>Blue Miracle</v>
      </c>
      <c r="H216" t="str">
        <f>IF('Cleaned-data'!C216="unknown","Unknown",PROPER(TRIM('Cleaned-data'!C216)))</f>
        <v>Julio Quintana</v>
      </c>
      <c r="I216" t="str">
        <f t="shared" si="7"/>
        <v>United States</v>
      </c>
      <c r="J216" s="2">
        <v>44654</v>
      </c>
    </row>
    <row r="217" spans="1:10" x14ac:dyDescent="0.3">
      <c r="A217" t="s">
        <v>1310</v>
      </c>
      <c r="C217" t="s">
        <v>1311</v>
      </c>
      <c r="D217" t="s">
        <v>16</v>
      </c>
      <c r="E217" s="2">
        <v>44655</v>
      </c>
      <c r="G217" t="str">
        <f t="shared" si="6"/>
        <v>Baggio: The Divine Ponytail</v>
      </c>
      <c r="H217" t="str">
        <f>IF('Cleaned-data'!C217="unknown","Unknown",PROPER(TRIM('Cleaned-data'!C217)))</f>
        <v>Letizia Lamartire</v>
      </c>
      <c r="I217" t="str">
        <f t="shared" si="7"/>
        <v>United States</v>
      </c>
      <c r="J217" s="2">
        <v>44655</v>
      </c>
    </row>
    <row r="218" spans="1:10" x14ac:dyDescent="0.3">
      <c r="A218" t="s">
        <v>1316</v>
      </c>
      <c r="C218" t="s">
        <v>1317</v>
      </c>
      <c r="D218" t="s">
        <v>16</v>
      </c>
      <c r="E218" s="2">
        <v>44656</v>
      </c>
      <c r="G218" t="str">
        <f t="shared" si="6"/>
        <v>Army of the Dead</v>
      </c>
      <c r="H218" t="str">
        <f>IF('Cleaned-data'!C218="unknown","Unknown",PROPER(TRIM('Cleaned-data'!C218)))</f>
        <v>Zack Snyder</v>
      </c>
      <c r="I218" t="str">
        <f t="shared" si="7"/>
        <v>United States</v>
      </c>
      <c r="J218" s="2">
        <v>44656</v>
      </c>
    </row>
    <row r="219" spans="1:10" x14ac:dyDescent="0.3">
      <c r="A219" t="s">
        <v>1322</v>
      </c>
      <c r="C219" t="s">
        <v>1323</v>
      </c>
      <c r="D219" t="s">
        <v>16</v>
      </c>
      <c r="E219" s="2">
        <v>44657</v>
      </c>
      <c r="G219" t="str">
        <f t="shared" si="6"/>
        <v>Hating Peter Tatchell</v>
      </c>
      <c r="H219" t="str">
        <f>IF('Cleaned-data'!C219="unknown","Unknown",PROPER(TRIM('Cleaned-data'!C219)))</f>
        <v>Christopher Amos</v>
      </c>
      <c r="I219" t="str">
        <f t="shared" si="7"/>
        <v>United States</v>
      </c>
      <c r="J219" s="2">
        <v>44657</v>
      </c>
    </row>
    <row r="220" spans="1:10" x14ac:dyDescent="0.3">
      <c r="A220" t="s">
        <v>1327</v>
      </c>
      <c r="C220" t="s">
        <v>1328</v>
      </c>
      <c r="D220" t="s">
        <v>16</v>
      </c>
      <c r="E220" s="2">
        <v>44658</v>
      </c>
      <c r="G220" t="str">
        <f t="shared" si="6"/>
        <v>Sleight</v>
      </c>
      <c r="H220" t="str">
        <f>IF('Cleaned-data'!C220="unknown","Unknown",PROPER(TRIM('Cleaned-data'!C220)))</f>
        <v>J.D. Dillard</v>
      </c>
      <c r="I220" t="str">
        <f t="shared" si="7"/>
        <v>United States</v>
      </c>
      <c r="J220" s="2">
        <v>44658</v>
      </c>
    </row>
    <row r="221" spans="1:10" x14ac:dyDescent="0.3">
      <c r="A221" t="s">
        <v>1333</v>
      </c>
      <c r="C221" t="s">
        <v>1334</v>
      </c>
      <c r="D221" t="s">
        <v>16</v>
      </c>
      <c r="E221" s="2">
        <v>44659</v>
      </c>
      <c r="G221" t="str">
        <f t="shared" si="6"/>
        <v>Cinema Bandi</v>
      </c>
      <c r="H221" t="str">
        <f>IF('Cleaned-data'!C221="unknown","Unknown",PROPER(TRIM('Cleaned-data'!C221)))</f>
        <v>Praveen Kandregula</v>
      </c>
      <c r="I221" t="str">
        <f t="shared" si="7"/>
        <v>United States</v>
      </c>
      <c r="J221" s="2">
        <v>44659</v>
      </c>
    </row>
    <row r="222" spans="1:10" x14ac:dyDescent="0.3">
      <c r="A222" t="s">
        <v>1339</v>
      </c>
      <c r="C222" t="s">
        <v>2963</v>
      </c>
      <c r="D222" t="s">
        <v>16</v>
      </c>
      <c r="E222" s="2">
        <v>44660</v>
      </c>
      <c r="G222" t="str">
        <f t="shared" si="6"/>
        <v>Haunted</v>
      </c>
      <c r="H222" t="str">
        <f>IF('Cleaned-data'!C222="unknown","Unknown",PROPER(TRIM('Cleaned-data'!C222)))</f>
        <v>Unknown</v>
      </c>
      <c r="I222" t="str">
        <f t="shared" si="7"/>
        <v>United States</v>
      </c>
      <c r="J222" s="2">
        <v>44660</v>
      </c>
    </row>
    <row r="223" spans="1:10" x14ac:dyDescent="0.3">
      <c r="A223" t="s">
        <v>1343</v>
      </c>
      <c r="C223" t="s">
        <v>2963</v>
      </c>
      <c r="D223" t="s">
        <v>16</v>
      </c>
      <c r="E223" s="2">
        <v>44661</v>
      </c>
      <c r="G223" t="str">
        <f t="shared" si="6"/>
        <v>Love, Death &amp; Robots</v>
      </c>
      <c r="H223" t="str">
        <f>IF('Cleaned-data'!C223="unknown","Unknown",PROPER(TRIM('Cleaned-data'!C223)))</f>
        <v>Unknown</v>
      </c>
      <c r="I223" t="str">
        <f t="shared" si="7"/>
        <v>United States</v>
      </c>
      <c r="J223" s="2">
        <v>44661</v>
      </c>
    </row>
    <row r="224" spans="1:10" x14ac:dyDescent="0.3">
      <c r="A224" t="s">
        <v>1348</v>
      </c>
      <c r="C224" t="s">
        <v>1349</v>
      </c>
      <c r="D224" t="s">
        <v>16</v>
      </c>
      <c r="E224" s="2">
        <v>44662</v>
      </c>
      <c r="G224" t="str">
        <f t="shared" si="6"/>
        <v>The Mystic River</v>
      </c>
      <c r="H224" t="str">
        <f>IF('Cleaned-data'!C224="unknown","Unknown",PROPER(TRIM('Cleaned-data'!C224)))</f>
        <v>Uzodinma Okpechi</v>
      </c>
      <c r="I224" t="str">
        <f t="shared" si="7"/>
        <v>United States</v>
      </c>
      <c r="J224" s="2">
        <v>44662</v>
      </c>
    </row>
    <row r="225" spans="1:10" x14ac:dyDescent="0.3">
      <c r="A225" t="s">
        <v>1355</v>
      </c>
      <c r="C225" t="s">
        <v>1356</v>
      </c>
      <c r="D225" t="s">
        <v>16</v>
      </c>
      <c r="E225" s="2">
        <v>44663</v>
      </c>
      <c r="G225" t="str">
        <f t="shared" si="6"/>
        <v>Layer Cake</v>
      </c>
      <c r="H225" t="str">
        <f>IF('Cleaned-data'!C225="unknown","Unknown",PROPER(TRIM('Cleaned-data'!C225)))</f>
        <v>Matthew Vaughn</v>
      </c>
      <c r="I225" t="str">
        <f t="shared" si="7"/>
        <v>United States</v>
      </c>
      <c r="J225" s="2">
        <v>44663</v>
      </c>
    </row>
    <row r="226" spans="1:10" x14ac:dyDescent="0.3">
      <c r="A226" t="s">
        <v>1362</v>
      </c>
      <c r="C226" t="s">
        <v>1363</v>
      </c>
      <c r="D226" t="s">
        <v>16</v>
      </c>
      <c r="E226" s="2">
        <v>44664</v>
      </c>
      <c r="G226" t="str">
        <f t="shared" si="6"/>
        <v>Deadly Switch</v>
      </c>
      <c r="H226" t="str">
        <f>IF('Cleaned-data'!C226="unknown","Unknown",PROPER(TRIM('Cleaned-data'!C226)))</f>
        <v>Svetlana Cvetko</v>
      </c>
      <c r="I226" t="str">
        <f t="shared" si="7"/>
        <v>United States</v>
      </c>
      <c r="J226" s="2">
        <v>44664</v>
      </c>
    </row>
    <row r="227" spans="1:10" x14ac:dyDescent="0.3">
      <c r="A227" t="s">
        <v>1368</v>
      </c>
      <c r="C227" t="s">
        <v>1369</v>
      </c>
      <c r="D227" t="s">
        <v>16</v>
      </c>
      <c r="E227" s="2">
        <v>44665</v>
      </c>
      <c r="G227" t="str">
        <f t="shared" si="6"/>
        <v>Framing John DeLorean</v>
      </c>
      <c r="H227" t="str">
        <f>IF('Cleaned-data'!C227="unknown","Unknown",PROPER(TRIM('Cleaned-data'!C227)))</f>
        <v>Don Argott, Sheena M. Joyce</v>
      </c>
      <c r="I227" t="str">
        <f t="shared" si="7"/>
        <v>United States</v>
      </c>
      <c r="J227" s="2">
        <v>44665</v>
      </c>
    </row>
    <row r="228" spans="1:10" x14ac:dyDescent="0.3">
      <c r="A228" t="s">
        <v>1375</v>
      </c>
      <c r="C228" t="s">
        <v>1376</v>
      </c>
      <c r="D228" t="s">
        <v>16</v>
      </c>
      <c r="E228" s="2">
        <v>44666</v>
      </c>
      <c r="G228" t="str">
        <f t="shared" si="6"/>
        <v>Best of the Best</v>
      </c>
      <c r="H228" t="str">
        <f>IF('Cleaned-data'!C228="unknown","Unknown",PROPER(TRIM('Cleaned-data'!C228)))</f>
        <v>Robert Radler</v>
      </c>
      <c r="I228" t="str">
        <f t="shared" si="7"/>
        <v>United States</v>
      </c>
      <c r="J228" s="2">
        <v>44666</v>
      </c>
    </row>
    <row r="229" spans="1:10" x14ac:dyDescent="0.3">
      <c r="A229" t="s">
        <v>1381</v>
      </c>
      <c r="C229" t="s">
        <v>1382</v>
      </c>
      <c r="D229" t="s">
        <v>16</v>
      </c>
      <c r="E229" s="2">
        <v>44667</v>
      </c>
      <c r="G229" t="str">
        <f t="shared" si="6"/>
        <v>The Lovely Bones</v>
      </c>
      <c r="H229" t="str">
        <f>IF('Cleaned-data'!C229="unknown","Unknown",PROPER(TRIM('Cleaned-data'!C229)))</f>
        <v>Peter Jackson</v>
      </c>
      <c r="I229" t="str">
        <f t="shared" si="7"/>
        <v>United States</v>
      </c>
      <c r="J229" s="2">
        <v>44667</v>
      </c>
    </row>
    <row r="230" spans="1:10" x14ac:dyDescent="0.3">
      <c r="A230" t="s">
        <v>1387</v>
      </c>
      <c r="C230" t="s">
        <v>1388</v>
      </c>
      <c r="D230" t="s">
        <v>16</v>
      </c>
      <c r="E230" s="2">
        <v>44668</v>
      </c>
      <c r="G230" t="str">
        <f t="shared" si="6"/>
        <v>Zack and Miri Make a Porno</v>
      </c>
      <c r="H230" t="str">
        <f>IF('Cleaned-data'!C230="unknown","Unknown",PROPER(TRIM('Cleaned-data'!C230)))</f>
        <v>Kevin Smith</v>
      </c>
      <c r="I230" t="str">
        <f t="shared" si="7"/>
        <v>United States</v>
      </c>
      <c r="J230" s="2">
        <v>44668</v>
      </c>
    </row>
    <row r="231" spans="1:10" x14ac:dyDescent="0.3">
      <c r="A231" t="s">
        <v>1393</v>
      </c>
      <c r="C231" t="s">
        <v>1394</v>
      </c>
      <c r="D231" t="s">
        <v>16</v>
      </c>
      <c r="E231" s="2">
        <v>44669</v>
      </c>
      <c r="G231" t="str">
        <f t="shared" si="6"/>
        <v>Crimson Peak</v>
      </c>
      <c r="H231" t="str">
        <f>IF('Cleaned-data'!C231="unknown","Unknown",PROPER(TRIM('Cleaned-data'!C231)))</f>
        <v>Guillermo Del Toro</v>
      </c>
      <c r="I231" t="str">
        <f t="shared" si="7"/>
        <v>United States</v>
      </c>
      <c r="J231" s="2">
        <v>44669</v>
      </c>
    </row>
    <row r="232" spans="1:10" x14ac:dyDescent="0.3">
      <c r="A232" t="s">
        <v>1399</v>
      </c>
      <c r="C232" t="s">
        <v>2963</v>
      </c>
      <c r="D232" t="s">
        <v>16</v>
      </c>
      <c r="E232" s="2">
        <v>44670</v>
      </c>
      <c r="G232" t="str">
        <f t="shared" si="6"/>
        <v>Love Naggers</v>
      </c>
      <c r="H232" t="str">
        <f>IF('Cleaned-data'!C232="unknown","Unknown",PROPER(TRIM('Cleaned-data'!C232)))</f>
        <v>Unknown</v>
      </c>
      <c r="I232" t="str">
        <f t="shared" si="7"/>
        <v>United States</v>
      </c>
      <c r="J232" s="2">
        <v>44670</v>
      </c>
    </row>
    <row r="233" spans="1:10" x14ac:dyDescent="0.3">
      <c r="A233" t="s">
        <v>1404</v>
      </c>
      <c r="C233" t="s">
        <v>1405</v>
      </c>
      <c r="D233" t="s">
        <v>16</v>
      </c>
      <c r="E233" s="2">
        <v>44671</v>
      </c>
      <c r="G233" t="str">
        <f t="shared" si="6"/>
        <v>GANTZ:O</v>
      </c>
      <c r="H233" t="str">
        <f>IF('Cleaned-data'!C233="unknown","Unknown",PROPER(TRIM('Cleaned-data'!C233)))</f>
        <v>Keiichi Sato, Yasushi Kawamura</v>
      </c>
      <c r="I233" t="str">
        <f t="shared" si="7"/>
        <v>United States</v>
      </c>
      <c r="J233" s="2">
        <v>44671</v>
      </c>
    </row>
    <row r="234" spans="1:10" x14ac:dyDescent="0.3">
      <c r="A234" t="s">
        <v>1411</v>
      </c>
      <c r="C234" t="s">
        <v>1412</v>
      </c>
      <c r="D234" t="s">
        <v>16</v>
      </c>
      <c r="E234" s="2">
        <v>44672</v>
      </c>
      <c r="G234" t="str">
        <f t="shared" si="6"/>
        <v>Zoot Suit</v>
      </c>
      <c r="H234" t="str">
        <f>IF('Cleaned-data'!C234="unknown","Unknown",PROPER(TRIM('Cleaned-data'!C234)))</f>
        <v>Luis Valdez</v>
      </c>
      <c r="I234" t="str">
        <f t="shared" si="7"/>
        <v>United States</v>
      </c>
      <c r="J234" s="2">
        <v>44672</v>
      </c>
    </row>
    <row r="235" spans="1:10" x14ac:dyDescent="0.3">
      <c r="A235" t="s">
        <v>1417</v>
      </c>
      <c r="C235" t="s">
        <v>2963</v>
      </c>
      <c r="D235" t="s">
        <v>16</v>
      </c>
      <c r="E235" s="2">
        <v>44673</v>
      </c>
      <c r="G235" t="str">
        <f t="shared" si="6"/>
        <v>House of Cards</v>
      </c>
      <c r="H235" t="str">
        <f>IF('Cleaned-data'!C235="unknown","Unknown",PROPER(TRIM('Cleaned-data'!C235)))</f>
        <v>Unknown</v>
      </c>
      <c r="I235" t="str">
        <f t="shared" si="7"/>
        <v>United States</v>
      </c>
      <c r="J235" s="2">
        <v>44673</v>
      </c>
    </row>
    <row r="236" spans="1:10" x14ac:dyDescent="0.3">
      <c r="A236" t="s">
        <v>1422</v>
      </c>
      <c r="C236" t="s">
        <v>2963</v>
      </c>
      <c r="D236" t="s">
        <v>16</v>
      </c>
      <c r="E236" s="2">
        <v>44674</v>
      </c>
      <c r="G236" t="str">
        <f t="shared" si="6"/>
        <v>Signal</v>
      </c>
      <c r="H236" t="str">
        <f>IF('Cleaned-data'!C236="unknown","Unknown",PROPER(TRIM('Cleaned-data'!C236)))</f>
        <v>Unknown</v>
      </c>
      <c r="I236" t="str">
        <f t="shared" si="7"/>
        <v>United States</v>
      </c>
      <c r="J236" s="2">
        <v>44674</v>
      </c>
    </row>
    <row r="237" spans="1:10" x14ac:dyDescent="0.3">
      <c r="A237" t="s">
        <v>1427</v>
      </c>
      <c r="C237" t="s">
        <v>2963</v>
      </c>
      <c r="D237" t="s">
        <v>16</v>
      </c>
      <c r="E237" s="2">
        <v>44675</v>
      </c>
      <c r="G237" t="str">
        <f t="shared" si="6"/>
        <v>Slasher</v>
      </c>
      <c r="H237" t="str">
        <f>IF('Cleaned-data'!C237="unknown","Unknown",PROPER(TRIM('Cleaned-data'!C237)))</f>
        <v>Unknown</v>
      </c>
      <c r="I237" t="str">
        <f t="shared" si="7"/>
        <v>United States</v>
      </c>
      <c r="J237" s="2">
        <v>44675</v>
      </c>
    </row>
    <row r="238" spans="1:10" x14ac:dyDescent="0.3">
      <c r="A238" t="s">
        <v>1433</v>
      </c>
      <c r="C238" t="s">
        <v>1030</v>
      </c>
      <c r="D238" t="s">
        <v>16</v>
      </c>
      <c r="E238" s="2">
        <v>44676</v>
      </c>
      <c r="G238" t="str">
        <f t="shared" si="6"/>
        <v>Roohi</v>
      </c>
      <c r="H238" t="str">
        <f>IF('Cleaned-data'!C238="unknown","Unknown",PROPER(TRIM('Cleaned-data'!C238)))</f>
        <v>Hardik Mehta</v>
      </c>
      <c r="I238" t="str">
        <f t="shared" si="7"/>
        <v>United States</v>
      </c>
      <c r="J238" s="2">
        <v>44676</v>
      </c>
    </row>
    <row r="239" spans="1:10" x14ac:dyDescent="0.3">
      <c r="A239" t="s">
        <v>1438</v>
      </c>
      <c r="C239" t="s">
        <v>2963</v>
      </c>
      <c r="D239" t="s">
        <v>16</v>
      </c>
      <c r="E239" s="2">
        <v>44677</v>
      </c>
      <c r="G239" t="str">
        <f t="shared" si="6"/>
        <v>This Is a Robbery: The World's Biggest Art Heist</v>
      </c>
      <c r="H239" t="str">
        <f>IF('Cleaned-data'!C239="unknown","Unknown",PROPER(TRIM('Cleaned-data'!C239)))</f>
        <v>Unknown</v>
      </c>
      <c r="I239" t="str">
        <f t="shared" si="7"/>
        <v>United States</v>
      </c>
      <c r="J239" s="2">
        <v>44677</v>
      </c>
    </row>
    <row r="240" spans="1:10" x14ac:dyDescent="0.3">
      <c r="A240" t="s">
        <v>1443</v>
      </c>
      <c r="C240" t="s">
        <v>1444</v>
      </c>
      <c r="D240" t="s">
        <v>16</v>
      </c>
      <c r="E240" s="2">
        <v>44678</v>
      </c>
      <c r="G240" t="str">
        <f t="shared" si="6"/>
        <v>Ferrari Ki Sawaari</v>
      </c>
      <c r="H240" t="str">
        <f>IF('Cleaned-data'!C240="unknown","Unknown",PROPER(TRIM('Cleaned-data'!C240)))</f>
        <v>Rajesh Mapuskar</v>
      </c>
      <c r="I240" t="str">
        <f t="shared" si="7"/>
        <v>United States</v>
      </c>
      <c r="J240" s="2">
        <v>44678</v>
      </c>
    </row>
    <row r="241" spans="1:10" x14ac:dyDescent="0.3">
      <c r="A241" t="s">
        <v>1449</v>
      </c>
      <c r="C241" t="s">
        <v>1450</v>
      </c>
      <c r="D241" t="s">
        <v>16</v>
      </c>
      <c r="E241" s="2">
        <v>44679</v>
      </c>
      <c r="G241" t="str">
        <f t="shared" si="6"/>
        <v>My Fair Lady</v>
      </c>
      <c r="H241" t="str">
        <f>IF('Cleaned-data'!C241="unknown","Unknown",PROPER(TRIM('Cleaned-data'!C241)))</f>
        <v>George Cukor</v>
      </c>
      <c r="I241" t="str">
        <f t="shared" si="7"/>
        <v>United States</v>
      </c>
      <c r="J241" s="2">
        <v>44679</v>
      </c>
    </row>
    <row r="242" spans="1:10" x14ac:dyDescent="0.3">
      <c r="A242" t="s">
        <v>1456</v>
      </c>
      <c r="C242" t="s">
        <v>2963</v>
      </c>
      <c r="D242" t="s">
        <v>16</v>
      </c>
      <c r="E242" s="2">
        <v>44680</v>
      </c>
      <c r="G242" t="str">
        <f t="shared" si="6"/>
        <v>Prank Encounters</v>
      </c>
      <c r="H242" t="str">
        <f>IF('Cleaned-data'!C242="unknown","Unknown",PROPER(TRIM('Cleaned-data'!C242)))</f>
        <v>Unknown</v>
      </c>
      <c r="I242" t="str">
        <f t="shared" si="7"/>
        <v>United States</v>
      </c>
      <c r="J242" s="2">
        <v>44680</v>
      </c>
    </row>
    <row r="243" spans="1:10" x14ac:dyDescent="0.3">
      <c r="A243" t="s">
        <v>1462</v>
      </c>
      <c r="C243" t="s">
        <v>1463</v>
      </c>
      <c r="D243" t="s">
        <v>16</v>
      </c>
      <c r="E243" s="2">
        <v>44681</v>
      </c>
      <c r="G243" t="str">
        <f t="shared" si="6"/>
        <v>A Week Away</v>
      </c>
      <c r="H243" t="str">
        <f>IF('Cleaned-data'!C243="unknown","Unknown",PROPER(TRIM('Cleaned-data'!C243)))</f>
        <v>Roman White</v>
      </c>
      <c r="I243" t="str">
        <f t="shared" si="7"/>
        <v>United States</v>
      </c>
      <c r="J243" s="2">
        <v>44681</v>
      </c>
    </row>
    <row r="244" spans="1:10" x14ac:dyDescent="0.3">
      <c r="A244" t="s">
        <v>1469</v>
      </c>
      <c r="C244" t="s">
        <v>1470</v>
      </c>
      <c r="D244" t="s">
        <v>16</v>
      </c>
      <c r="E244" s="2">
        <v>44682</v>
      </c>
      <c r="G244" t="str">
        <f t="shared" si="6"/>
        <v>Men on a Mission</v>
      </c>
      <c r="H244" t="str">
        <f>IF('Cleaned-data'!C244="unknown","Unknown",PROPER(TRIM('Cleaned-data'!C244)))</f>
        <v>Jung-Ah Im</v>
      </c>
      <c r="I244" t="str">
        <f t="shared" si="7"/>
        <v>United States</v>
      </c>
      <c r="J244" s="2">
        <v>44682</v>
      </c>
    </row>
    <row r="245" spans="1:10" x14ac:dyDescent="0.3">
      <c r="A245" t="s">
        <v>1475</v>
      </c>
      <c r="C245" t="s">
        <v>1476</v>
      </c>
      <c r="D245" t="s">
        <v>16</v>
      </c>
      <c r="E245" s="2">
        <v>44683</v>
      </c>
      <c r="G245" t="str">
        <f t="shared" si="6"/>
        <v>Get on Up</v>
      </c>
      <c r="H245" t="str">
        <f>IF('Cleaned-data'!C245="unknown","Unknown",PROPER(TRIM('Cleaned-data'!C245)))</f>
        <v>Tate Taylor</v>
      </c>
      <c r="I245" t="str">
        <f t="shared" si="7"/>
        <v>United States</v>
      </c>
      <c r="J245" s="2">
        <v>44683</v>
      </c>
    </row>
    <row r="246" spans="1:10" x14ac:dyDescent="0.3">
      <c r="A246" t="s">
        <v>1481</v>
      </c>
      <c r="C246" t="s">
        <v>2963</v>
      </c>
      <c r="D246" t="s">
        <v>16</v>
      </c>
      <c r="E246" s="2">
        <v>44684</v>
      </c>
      <c r="G246" t="str">
        <f t="shared" si="6"/>
        <v>The Lost Pirate Kingdom</v>
      </c>
      <c r="H246" t="str">
        <f>IF('Cleaned-data'!C246="unknown","Unknown",PROPER(TRIM('Cleaned-data'!C246)))</f>
        <v>Unknown</v>
      </c>
      <c r="I246" t="str">
        <f t="shared" si="7"/>
        <v>United States</v>
      </c>
      <c r="J246" s="2">
        <v>44684</v>
      </c>
    </row>
    <row r="247" spans="1:10" x14ac:dyDescent="0.3">
      <c r="A247" t="s">
        <v>1486</v>
      </c>
      <c r="C247" t="s">
        <v>2963</v>
      </c>
      <c r="D247" t="s">
        <v>16</v>
      </c>
      <c r="E247" s="2">
        <v>44685</v>
      </c>
      <c r="G247" t="str">
        <f t="shared" si="6"/>
        <v>Zero Chill</v>
      </c>
      <c r="H247" t="str">
        <f>IF('Cleaned-data'!C247="unknown","Unknown",PROPER(TRIM('Cleaned-data'!C247)))</f>
        <v>Unknown</v>
      </c>
      <c r="I247" t="str">
        <f t="shared" si="7"/>
        <v>United States</v>
      </c>
      <c r="J247" s="2">
        <v>44685</v>
      </c>
    </row>
    <row r="248" spans="1:10" x14ac:dyDescent="0.3">
      <c r="A248" t="s">
        <v>1491</v>
      </c>
      <c r="C248" t="s">
        <v>2963</v>
      </c>
      <c r="D248" t="s">
        <v>16</v>
      </c>
      <c r="E248" s="2">
        <v>44686</v>
      </c>
      <c r="G248" t="str">
        <f t="shared" si="6"/>
        <v>Love Alarm</v>
      </c>
      <c r="H248" t="str">
        <f>IF('Cleaned-data'!C248="unknown","Unknown",PROPER(TRIM('Cleaned-data'!C248)))</f>
        <v>Unknown</v>
      </c>
      <c r="I248" t="str">
        <f t="shared" si="7"/>
        <v>United States</v>
      </c>
      <c r="J248" s="2">
        <v>44686</v>
      </c>
    </row>
    <row r="249" spans="1:10" x14ac:dyDescent="0.3">
      <c r="A249" t="s">
        <v>1496</v>
      </c>
      <c r="C249" t="s">
        <v>1497</v>
      </c>
      <c r="D249" t="s">
        <v>16</v>
      </c>
      <c r="E249" s="2">
        <v>44687</v>
      </c>
      <c r="G249" t="str">
        <f t="shared" si="6"/>
        <v>The Block Island Sound</v>
      </c>
      <c r="H249" t="str">
        <f>IF('Cleaned-data'!C249="unknown","Unknown",PROPER(TRIM('Cleaned-data'!C249)))</f>
        <v>Kevin Mcmanus, Matthew Mcmanus</v>
      </c>
      <c r="I249" t="str">
        <f t="shared" si="7"/>
        <v>United States</v>
      </c>
      <c r="J249" s="2">
        <v>44687</v>
      </c>
    </row>
    <row r="250" spans="1:10" x14ac:dyDescent="0.3">
      <c r="A250" t="s">
        <v>1502</v>
      </c>
      <c r="C250" t="s">
        <v>2963</v>
      </c>
      <c r="D250" t="s">
        <v>16</v>
      </c>
      <c r="E250" s="2">
        <v>44688</v>
      </c>
      <c r="G250" t="str">
        <f t="shared" si="6"/>
        <v>PokÃ©mon Journeys: The Series</v>
      </c>
      <c r="H250" t="str">
        <f>IF('Cleaned-data'!C250="unknown","Unknown",PROPER(TRIM('Cleaned-data'!C250)))</f>
        <v>Unknown</v>
      </c>
      <c r="I250" t="str">
        <f t="shared" si="7"/>
        <v>United States</v>
      </c>
      <c r="J250" s="2">
        <v>44688</v>
      </c>
    </row>
    <row r="251" spans="1:10" x14ac:dyDescent="0.3">
      <c r="A251" t="s">
        <v>1507</v>
      </c>
      <c r="C251" t="s">
        <v>1508</v>
      </c>
      <c r="D251" t="s">
        <v>16</v>
      </c>
      <c r="E251" s="2">
        <v>44689</v>
      </c>
      <c r="G251" t="str">
        <f t="shared" si="6"/>
        <v>Moxie</v>
      </c>
      <c r="H251" t="str">
        <f>IF('Cleaned-data'!C251="unknown","Unknown",PROPER(TRIM('Cleaned-data'!C251)))</f>
        <v>Amy Poehler</v>
      </c>
      <c r="I251" t="str">
        <f t="shared" si="7"/>
        <v>United States</v>
      </c>
      <c r="J251" s="2">
        <v>44689</v>
      </c>
    </row>
    <row r="252" spans="1:10" x14ac:dyDescent="0.3">
      <c r="A252" t="s">
        <v>1514</v>
      </c>
      <c r="C252" t="s">
        <v>2963</v>
      </c>
      <c r="D252" t="s">
        <v>16</v>
      </c>
      <c r="E252" s="2">
        <v>44690</v>
      </c>
      <c r="G252" t="str">
        <f t="shared" si="6"/>
        <v>Two Sentence Horror Stories</v>
      </c>
      <c r="H252" t="str">
        <f>IF('Cleaned-data'!C252="unknown","Unknown",PROPER(TRIM('Cleaned-data'!C252)))</f>
        <v>Unknown</v>
      </c>
      <c r="I252" t="str">
        <f t="shared" si="7"/>
        <v>United States</v>
      </c>
      <c r="J252" s="2">
        <v>44690</v>
      </c>
    </row>
    <row r="253" spans="1:10" x14ac:dyDescent="0.3">
      <c r="A253" t="s">
        <v>1519</v>
      </c>
      <c r="C253" t="s">
        <v>1520</v>
      </c>
      <c r="D253" t="s">
        <v>16</v>
      </c>
      <c r="E253" s="2">
        <v>44691</v>
      </c>
      <c r="G253" t="str">
        <f t="shared" si="6"/>
        <v>I Care a Lot</v>
      </c>
      <c r="H253" t="str">
        <f>IF('Cleaned-data'!C253="unknown","Unknown",PROPER(TRIM('Cleaned-data'!C253)))</f>
        <v>J Blakeson</v>
      </c>
      <c r="I253" t="str">
        <f t="shared" si="7"/>
        <v>United States</v>
      </c>
      <c r="J253" s="2">
        <v>44691</v>
      </c>
    </row>
    <row r="254" spans="1:10" x14ac:dyDescent="0.3">
      <c r="A254" t="s">
        <v>1525</v>
      </c>
      <c r="C254" t="s">
        <v>2963</v>
      </c>
      <c r="D254" t="s">
        <v>16</v>
      </c>
      <c r="E254" s="2">
        <v>44692</v>
      </c>
      <c r="G254" t="str">
        <f t="shared" si="6"/>
        <v>MeatEater</v>
      </c>
      <c r="H254" t="str">
        <f>IF('Cleaned-data'!C254="unknown","Unknown",PROPER(TRIM('Cleaned-data'!C254)))</f>
        <v>Unknown</v>
      </c>
      <c r="I254" t="str">
        <f t="shared" si="7"/>
        <v>United States</v>
      </c>
      <c r="J254" s="2">
        <v>44692</v>
      </c>
    </row>
    <row r="255" spans="1:10" x14ac:dyDescent="0.3">
      <c r="A255" t="s">
        <v>1531</v>
      </c>
      <c r="C255" t="s">
        <v>2963</v>
      </c>
      <c r="D255" t="s">
        <v>16</v>
      </c>
      <c r="E255" s="2">
        <v>44693</v>
      </c>
      <c r="G255" t="str">
        <f t="shared" si="6"/>
        <v>El Chema</v>
      </c>
      <c r="H255" t="str">
        <f>IF('Cleaned-data'!C255="unknown","Unknown",PROPER(TRIM('Cleaned-data'!C255)))</f>
        <v>Unknown</v>
      </c>
      <c r="I255" t="str">
        <f t="shared" si="7"/>
        <v>United States</v>
      </c>
      <c r="J255" s="2">
        <v>44693</v>
      </c>
    </row>
    <row r="256" spans="1:10" x14ac:dyDescent="0.3">
      <c r="A256" t="s">
        <v>1536</v>
      </c>
      <c r="C256" t="s">
        <v>2963</v>
      </c>
      <c r="D256" t="s">
        <v>16</v>
      </c>
      <c r="E256" s="2">
        <v>44694</v>
      </c>
      <c r="G256" t="str">
        <f t="shared" si="6"/>
        <v>Love Daily</v>
      </c>
      <c r="H256" t="str">
        <f>IF('Cleaned-data'!C256="unknown","Unknown",PROPER(TRIM('Cleaned-data'!C256)))</f>
        <v>Unknown</v>
      </c>
      <c r="I256" t="str">
        <f t="shared" si="7"/>
        <v>United States</v>
      </c>
      <c r="J256" s="2">
        <v>44694</v>
      </c>
    </row>
    <row r="257" spans="1:10" x14ac:dyDescent="0.3">
      <c r="A257" t="s">
        <v>1541</v>
      </c>
      <c r="C257" t="s">
        <v>2963</v>
      </c>
      <c r="D257" t="s">
        <v>16</v>
      </c>
      <c r="E257" s="2">
        <v>44695</v>
      </c>
      <c r="G257" t="str">
        <f t="shared" si="6"/>
        <v>My Dead Ex</v>
      </c>
      <c r="H257" t="str">
        <f>IF('Cleaned-data'!C257="unknown","Unknown",PROPER(TRIM('Cleaned-data'!C257)))</f>
        <v>Unknown</v>
      </c>
      <c r="I257" t="str">
        <f t="shared" si="7"/>
        <v>United States</v>
      </c>
      <c r="J257" s="2">
        <v>44695</v>
      </c>
    </row>
    <row r="258" spans="1:10" x14ac:dyDescent="0.3">
      <c r="A258" t="s">
        <v>1547</v>
      </c>
      <c r="C258" t="s">
        <v>2963</v>
      </c>
      <c r="D258" t="s">
        <v>16</v>
      </c>
      <c r="E258" s="2">
        <v>44696</v>
      </c>
      <c r="G258" t="str">
        <f t="shared" si="6"/>
        <v>Zac and Mia</v>
      </c>
      <c r="H258" t="str">
        <f>IF('Cleaned-data'!C258="unknown","Unknown",PROPER(TRIM('Cleaned-data'!C258)))</f>
        <v>Unknown</v>
      </c>
      <c r="I258" t="str">
        <f t="shared" si="7"/>
        <v>United States</v>
      </c>
      <c r="J258" s="2">
        <v>44696</v>
      </c>
    </row>
    <row r="259" spans="1:10" x14ac:dyDescent="0.3">
      <c r="A259" t="s">
        <v>1552</v>
      </c>
      <c r="C259" t="s">
        <v>1553</v>
      </c>
      <c r="D259" t="s">
        <v>16</v>
      </c>
      <c r="E259" s="2">
        <v>44697</v>
      </c>
      <c r="G259" t="str">
        <f t="shared" ref="G259:G322" si="8">TRIM(A259)</f>
        <v>Zathura</v>
      </c>
      <c r="H259" t="str">
        <f>IF('Cleaned-data'!C259="unknown","Unknown",PROPER(TRIM('Cleaned-data'!C259)))</f>
        <v>Jon Favreau</v>
      </c>
      <c r="I259" t="str">
        <f t="shared" ref="I259:I322" si="9">TRIM(D259)</f>
        <v>United States</v>
      </c>
      <c r="J259" s="2">
        <v>44697</v>
      </c>
    </row>
    <row r="260" spans="1:10" x14ac:dyDescent="0.3">
      <c r="A260" t="s">
        <v>1558</v>
      </c>
      <c r="C260" t="s">
        <v>2963</v>
      </c>
      <c r="D260" t="s">
        <v>16</v>
      </c>
      <c r="E260" s="2">
        <v>44698</v>
      </c>
      <c r="G260" t="str">
        <f t="shared" si="8"/>
        <v>Outlander</v>
      </c>
      <c r="H260" t="str">
        <f>IF('Cleaned-data'!C260="unknown","Unknown",PROPER(TRIM('Cleaned-data'!C260)))</f>
        <v>Unknown</v>
      </c>
      <c r="I260" t="str">
        <f t="shared" si="9"/>
        <v>United States</v>
      </c>
      <c r="J260" s="2">
        <v>44698</v>
      </c>
    </row>
    <row r="261" spans="1:10" x14ac:dyDescent="0.3">
      <c r="A261" t="s">
        <v>1563</v>
      </c>
      <c r="C261" t="s">
        <v>1564</v>
      </c>
      <c r="D261" t="s">
        <v>16</v>
      </c>
      <c r="E261" s="2">
        <v>44699</v>
      </c>
      <c r="G261" t="str">
        <f t="shared" si="8"/>
        <v>So My Grandmaâ€™s a Lesbian!</v>
      </c>
      <c r="H261" t="str">
        <f>IF('Cleaned-data'!C261="unknown","Unknown",PROPER(TRIM('Cleaned-data'!C261)))</f>
        <v>ÃNgeles Reinã©</v>
      </c>
      <c r="I261" t="str">
        <f t="shared" si="9"/>
        <v>United States</v>
      </c>
      <c r="J261" s="2">
        <v>44699</v>
      </c>
    </row>
    <row r="262" spans="1:10" x14ac:dyDescent="0.3">
      <c r="A262" t="s">
        <v>1569</v>
      </c>
      <c r="C262" t="s">
        <v>1570</v>
      </c>
      <c r="D262" t="s">
        <v>16</v>
      </c>
      <c r="E262" s="2">
        <v>44700</v>
      </c>
      <c r="G262" t="str">
        <f t="shared" si="8"/>
        <v>A Monster Calls</v>
      </c>
      <c r="H262" t="str">
        <f>IF('Cleaned-data'!C262="unknown","Unknown",PROPER(TRIM('Cleaned-data'!C262)))</f>
        <v>J.A. Bayona</v>
      </c>
      <c r="I262" t="str">
        <f t="shared" si="9"/>
        <v>United States</v>
      </c>
      <c r="J262" s="2">
        <v>44700</v>
      </c>
    </row>
    <row r="263" spans="1:10" x14ac:dyDescent="0.3">
      <c r="A263" t="s">
        <v>1575</v>
      </c>
      <c r="C263" t="s">
        <v>2963</v>
      </c>
      <c r="D263" t="s">
        <v>16</v>
      </c>
      <c r="E263" s="2">
        <v>44701</v>
      </c>
      <c r="G263" t="str">
        <f t="shared" si="8"/>
        <v>Carmen Sandiego</v>
      </c>
      <c r="H263" t="str">
        <f>IF('Cleaned-data'!C263="unknown","Unknown",PROPER(TRIM('Cleaned-data'!C263)))</f>
        <v>Unknown</v>
      </c>
      <c r="I263" t="str">
        <f t="shared" si="9"/>
        <v>United States</v>
      </c>
      <c r="J263" s="2">
        <v>44701</v>
      </c>
    </row>
    <row r="264" spans="1:10" x14ac:dyDescent="0.3">
      <c r="A264" t="s">
        <v>1580</v>
      </c>
      <c r="C264" t="s">
        <v>2963</v>
      </c>
      <c r="D264" t="s">
        <v>16</v>
      </c>
      <c r="E264" s="2">
        <v>44702</v>
      </c>
      <c r="G264" t="str">
        <f t="shared" si="8"/>
        <v>Disenchantment</v>
      </c>
      <c r="H264" t="str">
        <f>IF('Cleaned-data'!C264="unknown","Unknown",PROPER(TRIM('Cleaned-data'!C264)))</f>
        <v>Unknown</v>
      </c>
      <c r="I264" t="str">
        <f t="shared" si="9"/>
        <v>United States</v>
      </c>
      <c r="J264" s="2">
        <v>44702</v>
      </c>
    </row>
    <row r="265" spans="1:10" x14ac:dyDescent="0.3">
      <c r="A265" t="s">
        <v>1585</v>
      </c>
      <c r="C265" t="s">
        <v>1586</v>
      </c>
      <c r="D265" t="s">
        <v>16</v>
      </c>
      <c r="E265" s="2">
        <v>44703</v>
      </c>
      <c r="G265" t="str">
        <f t="shared" si="8"/>
        <v>Last Tango in Halifax</v>
      </c>
      <c r="H265" t="str">
        <f>IF('Cleaned-data'!C265="unknown","Unknown",PROPER(TRIM('Cleaned-data'!C265)))</f>
        <v>Juliet May</v>
      </c>
      <c r="I265" t="str">
        <f t="shared" si="9"/>
        <v>United States</v>
      </c>
      <c r="J265" s="2">
        <v>44703</v>
      </c>
    </row>
    <row r="266" spans="1:10" x14ac:dyDescent="0.3">
      <c r="A266" t="s">
        <v>1591</v>
      </c>
      <c r="C266" t="s">
        <v>1592</v>
      </c>
      <c r="D266" t="s">
        <v>16</v>
      </c>
      <c r="E266" s="2">
        <v>44704</v>
      </c>
      <c r="G266" t="str">
        <f t="shared" si="8"/>
        <v>The Idhun Chronicles</v>
      </c>
      <c r="H266" t="str">
        <f>IF('Cleaned-data'!C266="unknown","Unknown",PROPER(TRIM('Cleaned-data'!C266)))</f>
        <v>Maite Ruiz De Austri</v>
      </c>
      <c r="I266" t="str">
        <f t="shared" si="9"/>
        <v>United States</v>
      </c>
      <c r="J266" s="2">
        <v>44704</v>
      </c>
    </row>
    <row r="267" spans="1:10" x14ac:dyDescent="0.3">
      <c r="A267" t="s">
        <v>1597</v>
      </c>
      <c r="C267" t="s">
        <v>2963</v>
      </c>
      <c r="D267" t="s">
        <v>16</v>
      </c>
      <c r="E267" s="2">
        <v>44705</v>
      </c>
      <c r="G267" t="str">
        <f t="shared" si="8"/>
        <v>History of Swear Words</v>
      </c>
      <c r="H267" t="str">
        <f>IF('Cleaned-data'!C267="unknown","Unknown",PROPER(TRIM('Cleaned-data'!C267)))</f>
        <v>Unknown</v>
      </c>
      <c r="I267" t="str">
        <f t="shared" si="9"/>
        <v>United States</v>
      </c>
      <c r="J267" s="2">
        <v>44705</v>
      </c>
    </row>
    <row r="268" spans="1:10" x14ac:dyDescent="0.3">
      <c r="A268" t="s">
        <v>1602</v>
      </c>
      <c r="C268" t="s">
        <v>1104</v>
      </c>
      <c r="D268" t="s">
        <v>16</v>
      </c>
      <c r="E268" s="2">
        <v>44706</v>
      </c>
      <c r="G268" t="str">
        <f t="shared" si="8"/>
        <v>Playing for Keeps</v>
      </c>
      <c r="H268" t="str">
        <f>IF('Cleaned-data'!C268="unknown","Unknown",PROPER(TRIM('Cleaned-data'!C268)))</f>
        <v>Gabriele Muccino</v>
      </c>
      <c r="I268" t="str">
        <f t="shared" si="9"/>
        <v>United States</v>
      </c>
      <c r="J268" s="2">
        <v>44706</v>
      </c>
    </row>
    <row r="269" spans="1:10" x14ac:dyDescent="0.3">
      <c r="A269" t="s">
        <v>1607</v>
      </c>
      <c r="C269" t="s">
        <v>2963</v>
      </c>
      <c r="D269" t="s">
        <v>16</v>
      </c>
      <c r="E269" s="2">
        <v>44707</v>
      </c>
      <c r="G269" t="str">
        <f t="shared" si="8"/>
        <v>Cobra Kai</v>
      </c>
      <c r="H269" t="str">
        <f>IF('Cleaned-data'!C269="unknown","Unknown",PROPER(TRIM('Cleaned-data'!C269)))</f>
        <v>Unknown</v>
      </c>
      <c r="I269" t="str">
        <f t="shared" si="9"/>
        <v>United States</v>
      </c>
      <c r="J269" s="2">
        <v>44707</v>
      </c>
    </row>
    <row r="270" spans="1:10" x14ac:dyDescent="0.3">
      <c r="A270" t="s">
        <v>1612</v>
      </c>
      <c r="C270" t="s">
        <v>1613</v>
      </c>
      <c r="D270" t="s">
        <v>16</v>
      </c>
      <c r="E270" s="2">
        <v>44708</v>
      </c>
      <c r="G270" t="str">
        <f t="shared" si="8"/>
        <v>Full Out 2: You Got This!</v>
      </c>
      <c r="H270" t="str">
        <f>IF('Cleaned-data'!C270="unknown","Unknown",PROPER(TRIM('Cleaned-data'!C270)))</f>
        <v>Jeff Deverett</v>
      </c>
      <c r="I270" t="str">
        <f t="shared" si="9"/>
        <v>United States</v>
      </c>
      <c r="J270" s="2">
        <v>44708</v>
      </c>
    </row>
    <row r="271" spans="1:10" x14ac:dyDescent="0.3">
      <c r="A271" t="s">
        <v>1618</v>
      </c>
      <c r="C271" t="s">
        <v>1619</v>
      </c>
      <c r="D271" t="s">
        <v>16</v>
      </c>
      <c r="E271" s="2">
        <v>44709</v>
      </c>
      <c r="G271" t="str">
        <f t="shared" si="8"/>
        <v>Into the Wild</v>
      </c>
      <c r="H271" t="str">
        <f>IF('Cleaned-data'!C271="unknown","Unknown",PROPER(TRIM('Cleaned-data'!C271)))</f>
        <v>Sean Penn</v>
      </c>
      <c r="I271" t="str">
        <f t="shared" si="9"/>
        <v>United States</v>
      </c>
      <c r="J271" s="2">
        <v>44709</v>
      </c>
    </row>
    <row r="272" spans="1:10" x14ac:dyDescent="0.3">
      <c r="A272" t="s">
        <v>1624</v>
      </c>
      <c r="C272" t="s">
        <v>2963</v>
      </c>
      <c r="D272" t="s">
        <v>16</v>
      </c>
      <c r="E272" s="2">
        <v>44710</v>
      </c>
      <c r="G272" t="str">
        <f t="shared" si="8"/>
        <v>Jenni Rivera: Mariposa de Barrio</v>
      </c>
      <c r="H272" t="str">
        <f>IF('Cleaned-data'!C272="unknown","Unknown",PROPER(TRIM('Cleaned-data'!C272)))</f>
        <v>Unknown</v>
      </c>
      <c r="I272" t="str">
        <f t="shared" si="9"/>
        <v>United States</v>
      </c>
      <c r="J272" s="2">
        <v>44710</v>
      </c>
    </row>
    <row r="273" spans="1:10" x14ac:dyDescent="0.3">
      <c r="A273" t="s">
        <v>1630</v>
      </c>
      <c r="C273" t="s">
        <v>1631</v>
      </c>
      <c r="D273" t="s">
        <v>16</v>
      </c>
      <c r="E273" s="2">
        <v>44711</v>
      </c>
      <c r="G273" t="str">
        <f t="shared" si="8"/>
        <v>Alaska Is a Drag</v>
      </c>
      <c r="H273" t="str">
        <f>IF('Cleaned-data'!C273="unknown","Unknown",PROPER(TRIM('Cleaned-data'!C273)))</f>
        <v>Shaz Bennett</v>
      </c>
      <c r="I273" t="str">
        <f t="shared" si="9"/>
        <v>United States</v>
      </c>
      <c r="J273" s="2">
        <v>44711</v>
      </c>
    </row>
    <row r="274" spans="1:10" x14ac:dyDescent="0.3">
      <c r="A274" t="s">
        <v>1636</v>
      </c>
      <c r="C274" t="s">
        <v>2963</v>
      </c>
      <c r="D274" t="s">
        <v>16</v>
      </c>
      <c r="E274" s="2">
        <v>44712</v>
      </c>
      <c r="G274" t="str">
        <f t="shared" si="8"/>
        <v>Chilling Adventures of Sabrina</v>
      </c>
      <c r="H274" t="str">
        <f>IF('Cleaned-data'!C274="unknown","Unknown",PROPER(TRIM('Cleaned-data'!C274)))</f>
        <v>Unknown</v>
      </c>
      <c r="I274" t="str">
        <f t="shared" si="9"/>
        <v>United States</v>
      </c>
      <c r="J274" s="2">
        <v>44712</v>
      </c>
    </row>
    <row r="275" spans="1:10" x14ac:dyDescent="0.3">
      <c r="A275" t="s">
        <v>1641</v>
      </c>
      <c r="C275" t="s">
        <v>1642</v>
      </c>
      <c r="D275" t="s">
        <v>16</v>
      </c>
      <c r="E275" s="2">
        <v>44713</v>
      </c>
      <c r="G275" t="str">
        <f t="shared" si="8"/>
        <v>Tarung Sarung</v>
      </c>
      <c r="H275" t="str">
        <f>IF('Cleaned-data'!C275="unknown","Unknown",PROPER(TRIM('Cleaned-data'!C275)))</f>
        <v>Archie Hekagery</v>
      </c>
      <c r="I275" t="str">
        <f t="shared" si="9"/>
        <v>United States</v>
      </c>
      <c r="J275" s="2">
        <v>44713</v>
      </c>
    </row>
    <row r="276" spans="1:10" x14ac:dyDescent="0.3">
      <c r="A276" t="s">
        <v>1647</v>
      </c>
      <c r="C276" t="s">
        <v>2963</v>
      </c>
      <c r="D276" t="s">
        <v>16</v>
      </c>
      <c r="E276" s="2">
        <v>44714</v>
      </c>
      <c r="G276" t="str">
        <f t="shared" si="8"/>
        <v>Equinox</v>
      </c>
      <c r="H276" t="str">
        <f>IF('Cleaned-data'!C276="unknown","Unknown",PROPER(TRIM('Cleaned-data'!C276)))</f>
        <v>Unknown</v>
      </c>
      <c r="I276" t="str">
        <f t="shared" si="9"/>
        <v>United States</v>
      </c>
      <c r="J276" s="2">
        <v>44714</v>
      </c>
    </row>
    <row r="277" spans="1:10" x14ac:dyDescent="0.3">
      <c r="A277" t="s">
        <v>1652</v>
      </c>
      <c r="C277" t="s">
        <v>2963</v>
      </c>
      <c r="D277" t="s">
        <v>16</v>
      </c>
      <c r="E277" s="2">
        <v>44715</v>
      </c>
      <c r="G277" t="str">
        <f t="shared" si="8"/>
        <v>Still Game</v>
      </c>
      <c r="H277" t="str">
        <f>IF('Cleaned-data'!C277="unknown","Unknown",PROPER(TRIM('Cleaned-data'!C277)))</f>
        <v>Unknown</v>
      </c>
      <c r="I277" t="str">
        <f t="shared" si="9"/>
        <v>United States</v>
      </c>
      <c r="J277" s="2">
        <v>44715</v>
      </c>
    </row>
    <row r="278" spans="1:10" x14ac:dyDescent="0.3">
      <c r="A278" t="s">
        <v>1657</v>
      </c>
      <c r="C278" t="s">
        <v>1658</v>
      </c>
      <c r="D278" t="s">
        <v>16</v>
      </c>
      <c r="E278" s="2">
        <v>44716</v>
      </c>
      <c r="G278" t="str">
        <f t="shared" si="8"/>
        <v>The History of Future Folk</v>
      </c>
      <c r="H278" t="str">
        <f>IF('Cleaned-data'!C278="unknown","Unknown",PROPER(TRIM('Cleaned-data'!C278)))</f>
        <v>John Mitchell, Jeremy Kipp Walker</v>
      </c>
      <c r="I278" t="str">
        <f t="shared" si="9"/>
        <v>United States</v>
      </c>
      <c r="J278" s="2">
        <v>44716</v>
      </c>
    </row>
    <row r="279" spans="1:10" x14ac:dyDescent="0.3">
      <c r="A279" t="s">
        <v>1663</v>
      </c>
      <c r="C279" t="s">
        <v>1664</v>
      </c>
      <c r="D279" t="s">
        <v>16</v>
      </c>
      <c r="E279" s="2">
        <v>44717</v>
      </c>
      <c r="G279" t="str">
        <f t="shared" si="8"/>
        <v>QLIMAX THE SOURCE</v>
      </c>
      <c r="H279" t="str">
        <f>IF('Cleaned-data'!C279="unknown","Unknown",PROPER(TRIM('Cleaned-data'!C279)))</f>
        <v>Daan Jansen, Stijn Verlinde</v>
      </c>
      <c r="I279" t="str">
        <f t="shared" si="9"/>
        <v>United States</v>
      </c>
      <c r="J279" s="2">
        <v>44717</v>
      </c>
    </row>
    <row r="280" spans="1:10" x14ac:dyDescent="0.3">
      <c r="A280" t="s">
        <v>1670</v>
      </c>
      <c r="C280" t="s">
        <v>2963</v>
      </c>
      <c r="D280" t="s">
        <v>16</v>
      </c>
      <c r="E280" s="2">
        <v>44718</v>
      </c>
      <c r="G280" t="str">
        <f t="shared" si="8"/>
        <v>Shaun the Sheep</v>
      </c>
      <c r="H280" t="str">
        <f>IF('Cleaned-data'!C280="unknown","Unknown",PROPER(TRIM('Cleaned-data'!C280)))</f>
        <v>Unknown</v>
      </c>
      <c r="I280" t="str">
        <f t="shared" si="9"/>
        <v>United States</v>
      </c>
      <c r="J280" s="2">
        <v>44718</v>
      </c>
    </row>
    <row r="281" spans="1:10" x14ac:dyDescent="0.3">
      <c r="A281" t="s">
        <v>1675</v>
      </c>
      <c r="C281" t="s">
        <v>1676</v>
      </c>
      <c r="D281" t="s">
        <v>16</v>
      </c>
      <c r="E281" s="2">
        <v>44719</v>
      </c>
      <c r="G281" t="str">
        <f t="shared" si="8"/>
        <v>BREAK IT ALL: The History of Rock in Latin America</v>
      </c>
      <c r="H281" t="str">
        <f>IF('Cleaned-data'!C281="unknown","Unknown",PROPER(TRIM('Cleaned-data'!C281)))</f>
        <v>Picky Talarico</v>
      </c>
      <c r="I281" t="str">
        <f t="shared" si="9"/>
        <v>United States</v>
      </c>
      <c r="J281" s="2">
        <v>44719</v>
      </c>
    </row>
    <row r="282" spans="1:10" x14ac:dyDescent="0.3">
      <c r="A282" t="s">
        <v>1681</v>
      </c>
      <c r="C282" t="s">
        <v>1682</v>
      </c>
      <c r="D282" t="s">
        <v>16</v>
      </c>
      <c r="E282" s="2">
        <v>44720</v>
      </c>
      <c r="G282" t="str">
        <f t="shared" si="8"/>
        <v>Grizzlies</v>
      </c>
      <c r="H282" t="str">
        <f>IF('Cleaned-data'!C282="unknown","Unknown",PROPER(TRIM('Cleaned-data'!C282)))</f>
        <v>Miranda De Pencier</v>
      </c>
      <c r="I282" t="str">
        <f t="shared" si="9"/>
        <v>United States</v>
      </c>
      <c r="J282" s="2">
        <v>44720</v>
      </c>
    </row>
    <row r="283" spans="1:10" x14ac:dyDescent="0.3">
      <c r="A283" t="s">
        <v>1688</v>
      </c>
      <c r="C283" t="s">
        <v>2963</v>
      </c>
      <c r="D283" t="s">
        <v>16</v>
      </c>
      <c r="E283" s="2">
        <v>44721</v>
      </c>
      <c r="G283" t="str">
        <f t="shared" si="8"/>
        <v>Tiny Pretty Things</v>
      </c>
      <c r="H283" t="str">
        <f>IF('Cleaned-data'!C283="unknown","Unknown",PROPER(TRIM('Cleaned-data'!C283)))</f>
        <v>Unknown</v>
      </c>
      <c r="I283" t="str">
        <f t="shared" si="9"/>
        <v>United States</v>
      </c>
      <c r="J283" s="2">
        <v>44721</v>
      </c>
    </row>
    <row r="284" spans="1:10" x14ac:dyDescent="0.3">
      <c r="A284" t="s">
        <v>1693</v>
      </c>
      <c r="C284" t="s">
        <v>1694</v>
      </c>
      <c r="D284" t="s">
        <v>16</v>
      </c>
      <c r="E284" s="2">
        <v>44722</v>
      </c>
      <c r="G284" t="str">
        <f t="shared" si="8"/>
        <v>The Prom</v>
      </c>
      <c r="H284" t="str">
        <f>IF('Cleaned-data'!C284="unknown","Unknown",PROPER(TRIM('Cleaned-data'!C284)))</f>
        <v>Ryan Murphy</v>
      </c>
      <c r="I284" t="str">
        <f t="shared" si="9"/>
        <v>United States</v>
      </c>
      <c r="J284" s="2">
        <v>44722</v>
      </c>
    </row>
    <row r="285" spans="1:10" x14ac:dyDescent="0.3">
      <c r="A285" t="s">
        <v>1699</v>
      </c>
      <c r="C285" t="s">
        <v>2963</v>
      </c>
      <c r="D285" t="s">
        <v>16</v>
      </c>
      <c r="E285" s="2">
        <v>44723</v>
      </c>
      <c r="G285" t="str">
        <f t="shared" si="8"/>
        <v>Alice in Borderland</v>
      </c>
      <c r="H285" t="str">
        <f>IF('Cleaned-data'!C285="unknown","Unknown",PROPER(TRIM('Cleaned-data'!C285)))</f>
        <v>Unknown</v>
      </c>
      <c r="I285" t="str">
        <f t="shared" si="9"/>
        <v>United States</v>
      </c>
      <c r="J285" s="2">
        <v>44723</v>
      </c>
    </row>
    <row r="286" spans="1:10" x14ac:dyDescent="0.3">
      <c r="A286" t="s">
        <v>1704</v>
      </c>
      <c r="C286" t="s">
        <v>2963</v>
      </c>
      <c r="D286" t="s">
        <v>16</v>
      </c>
      <c r="E286" s="2">
        <v>44724</v>
      </c>
      <c r="G286" t="str">
        <f t="shared" si="8"/>
        <v>The Expanding Universe of Ashley Garcia</v>
      </c>
      <c r="H286" t="str">
        <f>IF('Cleaned-data'!C286="unknown","Unknown",PROPER(TRIM('Cleaned-data'!C286)))</f>
        <v>Unknown</v>
      </c>
      <c r="I286" t="str">
        <f t="shared" si="9"/>
        <v>United States</v>
      </c>
      <c r="J286" s="2">
        <v>44724</v>
      </c>
    </row>
    <row r="287" spans="1:10" x14ac:dyDescent="0.3">
      <c r="A287" t="s">
        <v>1709</v>
      </c>
      <c r="C287" t="s">
        <v>1710</v>
      </c>
      <c r="D287" t="s">
        <v>16</v>
      </c>
      <c r="E287" s="2">
        <v>44725</v>
      </c>
      <c r="G287" t="str">
        <f t="shared" si="8"/>
        <v>Detention</v>
      </c>
      <c r="H287" t="str">
        <f>IF('Cleaned-data'!C287="unknown","Unknown",PROPER(TRIM('Cleaned-data'!C287)))</f>
        <v>Su I-Hsuan, Chuang Shiang-An, Liu Yi</v>
      </c>
      <c r="I287" t="str">
        <f t="shared" si="9"/>
        <v>United States</v>
      </c>
      <c r="J287" s="2">
        <v>44725</v>
      </c>
    </row>
    <row r="288" spans="1:10" x14ac:dyDescent="0.3">
      <c r="A288" t="s">
        <v>1715</v>
      </c>
      <c r="C288" t="s">
        <v>1716</v>
      </c>
      <c r="D288" t="s">
        <v>16</v>
      </c>
      <c r="E288" s="2">
        <v>44726</v>
      </c>
      <c r="G288" t="str">
        <f t="shared" si="8"/>
        <v>Christmas Crossfire</v>
      </c>
      <c r="H288" t="str">
        <f>IF('Cleaned-data'!C288="unknown","Unknown",PROPER(TRIM('Cleaned-data'!C288)))</f>
        <v>Detlev Buck</v>
      </c>
      <c r="I288" t="str">
        <f t="shared" si="9"/>
        <v>United States</v>
      </c>
      <c r="J288" s="2">
        <v>44726</v>
      </c>
    </row>
    <row r="289" spans="1:10" x14ac:dyDescent="0.3">
      <c r="A289" t="s">
        <v>1721</v>
      </c>
      <c r="C289" t="s">
        <v>2963</v>
      </c>
      <c r="D289" t="s">
        <v>16</v>
      </c>
      <c r="E289" s="2">
        <v>44727</v>
      </c>
      <c r="G289" t="str">
        <f t="shared" si="8"/>
        <v>Stargate SG-1</v>
      </c>
      <c r="H289" t="str">
        <f>IF('Cleaned-data'!C289="unknown","Unknown",PROPER(TRIM('Cleaned-data'!C289)))</f>
        <v>Unknown</v>
      </c>
      <c r="I289" t="str">
        <f t="shared" si="9"/>
        <v>United States</v>
      </c>
      <c r="J289" s="2">
        <v>44727</v>
      </c>
    </row>
    <row r="290" spans="1:10" x14ac:dyDescent="0.3">
      <c r="A290" t="s">
        <v>1726</v>
      </c>
      <c r="C290" t="s">
        <v>2963</v>
      </c>
      <c r="D290" t="s">
        <v>16</v>
      </c>
      <c r="E290" s="2">
        <v>44728</v>
      </c>
      <c r="G290" t="str">
        <f t="shared" si="8"/>
        <v>The Guest</v>
      </c>
      <c r="H290" t="str">
        <f>IF('Cleaned-data'!C290="unknown","Unknown",PROPER(TRIM('Cleaned-data'!C290)))</f>
        <v>Unknown</v>
      </c>
      <c r="I290" t="str">
        <f t="shared" si="9"/>
        <v>United States</v>
      </c>
      <c r="J290" s="2">
        <v>44728</v>
      </c>
    </row>
    <row r="291" spans="1:10" x14ac:dyDescent="0.3">
      <c r="A291" t="s">
        <v>1731</v>
      </c>
      <c r="C291" t="s">
        <v>1732</v>
      </c>
      <c r="D291" t="s">
        <v>16</v>
      </c>
      <c r="E291" s="2">
        <v>44729</v>
      </c>
      <c r="G291" t="str">
        <f t="shared" si="8"/>
        <v>Dance Dreams: Hot Chocolate Nutcracker</v>
      </c>
      <c r="H291" t="str">
        <f>IF('Cleaned-data'!C291="unknown","Unknown",PROPER(TRIM('Cleaned-data'!C291)))</f>
        <v>Oliver Bokelberg</v>
      </c>
      <c r="I291" t="str">
        <f t="shared" si="9"/>
        <v>United States</v>
      </c>
      <c r="J291" s="2">
        <v>44729</v>
      </c>
    </row>
    <row r="292" spans="1:10" x14ac:dyDescent="0.3">
      <c r="A292" t="s">
        <v>1738</v>
      </c>
      <c r="C292" t="s">
        <v>1739</v>
      </c>
      <c r="D292" t="s">
        <v>16</v>
      </c>
      <c r="E292" s="2">
        <v>44730</v>
      </c>
      <c r="G292" t="str">
        <f t="shared" si="8"/>
        <v>A Very Country Christmas</v>
      </c>
      <c r="H292" t="str">
        <f>IF('Cleaned-data'!C292="unknown","Unknown",PROPER(TRIM('Cleaned-data'!C292)))</f>
        <v>Justin G. Dyck</v>
      </c>
      <c r="I292" t="str">
        <f t="shared" si="9"/>
        <v>United States</v>
      </c>
      <c r="J292" s="2">
        <v>44730</v>
      </c>
    </row>
    <row r="293" spans="1:10" x14ac:dyDescent="0.3">
      <c r="A293" t="s">
        <v>1744</v>
      </c>
      <c r="C293" t="s">
        <v>1739</v>
      </c>
      <c r="D293" t="s">
        <v>16</v>
      </c>
      <c r="E293" s="2">
        <v>44731</v>
      </c>
      <c r="G293" t="str">
        <f t="shared" si="8"/>
        <v>Hometown Holiday</v>
      </c>
      <c r="H293" t="str">
        <f>IF('Cleaned-data'!C293="unknown","Unknown",PROPER(TRIM('Cleaned-data'!C293)))</f>
        <v>Justin G. Dyck</v>
      </c>
      <c r="I293" t="str">
        <f t="shared" si="9"/>
        <v>United States</v>
      </c>
      <c r="J293" s="2">
        <v>44731</v>
      </c>
    </row>
    <row r="294" spans="1:10" x14ac:dyDescent="0.3">
      <c r="A294" t="s">
        <v>1749</v>
      </c>
      <c r="C294" t="s">
        <v>1750</v>
      </c>
      <c r="D294" t="s">
        <v>16</v>
      </c>
      <c r="E294" s="2">
        <v>44732</v>
      </c>
      <c r="G294" t="str">
        <f t="shared" si="8"/>
        <v>White Christmas</v>
      </c>
      <c r="H294" t="str">
        <f>IF('Cleaned-data'!C294="unknown","Unknown",PROPER(TRIM('Cleaned-data'!C294)))</f>
        <v>Michael Curtiz</v>
      </c>
      <c r="I294" t="str">
        <f t="shared" si="9"/>
        <v>United States</v>
      </c>
      <c r="J294" s="2">
        <v>44732</v>
      </c>
    </row>
    <row r="295" spans="1:10" x14ac:dyDescent="0.3">
      <c r="A295" t="s">
        <v>1755</v>
      </c>
      <c r="C295" t="s">
        <v>2963</v>
      </c>
      <c r="D295" t="s">
        <v>16</v>
      </c>
      <c r="E295" s="2">
        <v>44733</v>
      </c>
      <c r="G295" t="str">
        <f t="shared" si="8"/>
        <v>The Liberator</v>
      </c>
      <c r="H295" t="str">
        <f>IF('Cleaned-data'!C295="unknown","Unknown",PROPER(TRIM('Cleaned-data'!C295)))</f>
        <v>Unknown</v>
      </c>
      <c r="I295" t="str">
        <f t="shared" si="9"/>
        <v>United States</v>
      </c>
      <c r="J295" s="2">
        <v>44733</v>
      </c>
    </row>
    <row r="296" spans="1:10" x14ac:dyDescent="0.3">
      <c r="A296" t="s">
        <v>1760</v>
      </c>
      <c r="C296" t="s">
        <v>1761</v>
      </c>
      <c r="D296" t="s">
        <v>16</v>
      </c>
      <c r="E296" s="2">
        <v>44734</v>
      </c>
      <c r="G296" t="str">
        <f t="shared" si="8"/>
        <v>A New York Christmas Wedding</v>
      </c>
      <c r="H296" t="str">
        <f>IF('Cleaned-data'!C296="unknown","Unknown",PROPER(TRIM('Cleaned-data'!C296)))</f>
        <v>Otoja Abit</v>
      </c>
      <c r="I296" t="str">
        <f t="shared" si="9"/>
        <v>United States</v>
      </c>
      <c r="J296" s="2">
        <v>44734</v>
      </c>
    </row>
    <row r="297" spans="1:10" x14ac:dyDescent="0.3">
      <c r="A297" t="s">
        <v>1766</v>
      </c>
      <c r="C297" t="s">
        <v>1767</v>
      </c>
      <c r="D297" t="s">
        <v>16</v>
      </c>
      <c r="E297" s="2">
        <v>44735</v>
      </c>
      <c r="G297" t="str">
        <f t="shared" si="8"/>
        <v>Operation Christmas Drop</v>
      </c>
      <c r="H297" t="str">
        <f>IF('Cleaned-data'!C297="unknown","Unknown",PROPER(TRIM('Cleaned-data'!C297)))</f>
        <v>Martin Wood</v>
      </c>
      <c r="I297" t="str">
        <f t="shared" si="9"/>
        <v>United States</v>
      </c>
      <c r="J297" s="2">
        <v>44735</v>
      </c>
    </row>
    <row r="298" spans="1:10" x14ac:dyDescent="0.3">
      <c r="A298" t="s">
        <v>1772</v>
      </c>
      <c r="C298" t="s">
        <v>1686</v>
      </c>
      <c r="D298" t="s">
        <v>16</v>
      </c>
      <c r="E298" s="2">
        <v>44736</v>
      </c>
      <c r="G298" t="str">
        <f t="shared" si="8"/>
        <v>Wheels of Fortune</v>
      </c>
      <c r="H298" t="str">
        <f>IF('Cleaned-data'!C298="unknown","Unknown",PROPER(TRIM('Cleaned-data'!C298)))</f>
        <v>Shaun Paul Piccinino</v>
      </c>
      <c r="I298" t="str">
        <f t="shared" si="9"/>
        <v>United States</v>
      </c>
      <c r="J298" s="2">
        <v>44736</v>
      </c>
    </row>
    <row r="299" spans="1:10" x14ac:dyDescent="0.3">
      <c r="A299" t="s">
        <v>1777</v>
      </c>
      <c r="C299" t="s">
        <v>1467</v>
      </c>
      <c r="D299" t="s">
        <v>16</v>
      </c>
      <c r="E299" s="2">
        <v>44737</v>
      </c>
      <c r="G299" t="str">
        <f t="shared" si="8"/>
        <v>La Gran IlusiÃ³n</v>
      </c>
      <c r="H299" t="str">
        <f>IF('Cleaned-data'!C299="unknown","Unknown",PROPER(TRIM('Cleaned-data'!C299)))</f>
        <v>Antonio Dã­Az</v>
      </c>
      <c r="I299" t="str">
        <f t="shared" si="9"/>
        <v>United States</v>
      </c>
      <c r="J299" s="2">
        <v>44737</v>
      </c>
    </row>
    <row r="300" spans="1:10" x14ac:dyDescent="0.3">
      <c r="A300" t="s">
        <v>1781</v>
      </c>
      <c r="C300" t="s">
        <v>1782</v>
      </c>
      <c r="D300" t="s">
        <v>16</v>
      </c>
      <c r="E300" s="2">
        <v>44738</v>
      </c>
      <c r="G300" t="str">
        <f t="shared" si="8"/>
        <v>The Devil Punisher</v>
      </c>
      <c r="H300" t="str">
        <f>IF('Cleaned-data'!C300="unknown","Unknown",PROPER(TRIM('Cleaned-data'!C300)))</f>
        <v>Chang Chin-Jung, Chen Rong-Hui</v>
      </c>
      <c r="I300" t="str">
        <f t="shared" si="9"/>
        <v>United States</v>
      </c>
      <c r="J300" s="2">
        <v>44738</v>
      </c>
    </row>
    <row r="301" spans="1:10" x14ac:dyDescent="0.3">
      <c r="A301" t="s">
        <v>1787</v>
      </c>
      <c r="C301" t="s">
        <v>2963</v>
      </c>
      <c r="D301" t="s">
        <v>16</v>
      </c>
      <c r="E301" s="2">
        <v>44739</v>
      </c>
      <c r="G301" t="str">
        <f t="shared" si="8"/>
        <v>My Next Guest Needs No Introduction With David Letterman</v>
      </c>
      <c r="H301" t="str">
        <f>IF('Cleaned-data'!C301="unknown","Unknown",PROPER(TRIM('Cleaned-data'!C301)))</f>
        <v>Unknown</v>
      </c>
      <c r="I301" t="str">
        <f t="shared" si="9"/>
        <v>United States</v>
      </c>
      <c r="J301" s="2">
        <v>44739</v>
      </c>
    </row>
    <row r="302" spans="1:10" x14ac:dyDescent="0.3">
      <c r="A302" t="s">
        <v>1792</v>
      </c>
      <c r="C302" t="s">
        <v>1793</v>
      </c>
      <c r="D302" t="s">
        <v>16</v>
      </c>
      <c r="E302" s="2">
        <v>44740</v>
      </c>
      <c r="G302" t="str">
        <f t="shared" si="8"/>
        <v>A Choo</v>
      </c>
      <c r="H302" t="str">
        <f>IF('Cleaned-data'!C302="unknown","Unknown",PROPER(TRIM('Cleaned-data'!C302)))</f>
        <v>Kevin Ko, Peter Tsi</v>
      </c>
      <c r="I302" t="str">
        <f t="shared" si="9"/>
        <v>United States</v>
      </c>
      <c r="J302" s="2">
        <v>44740</v>
      </c>
    </row>
    <row r="303" spans="1:10" x14ac:dyDescent="0.3">
      <c r="A303" t="s">
        <v>1798</v>
      </c>
      <c r="C303" t="s">
        <v>2963</v>
      </c>
      <c r="D303" t="s">
        <v>16</v>
      </c>
      <c r="E303" s="2">
        <v>44741</v>
      </c>
      <c r="G303" t="str">
        <f t="shared" si="8"/>
        <v>The Cabin with Bert Kreischer</v>
      </c>
      <c r="H303" t="str">
        <f>IF('Cleaned-data'!C303="unknown","Unknown",PROPER(TRIM('Cleaned-data'!C303)))</f>
        <v>Unknown</v>
      </c>
      <c r="I303" t="str">
        <f t="shared" si="9"/>
        <v>United States</v>
      </c>
      <c r="J303" s="2">
        <v>44741</v>
      </c>
    </row>
    <row r="304" spans="1:10" x14ac:dyDescent="0.3">
      <c r="A304" t="s">
        <v>1803</v>
      </c>
      <c r="C304" t="s">
        <v>1804</v>
      </c>
      <c r="D304" t="s">
        <v>16</v>
      </c>
      <c r="E304" s="2">
        <v>44742</v>
      </c>
      <c r="G304" t="str">
        <f t="shared" si="8"/>
        <v>Disco Dancer</v>
      </c>
      <c r="H304" t="str">
        <f>IF('Cleaned-data'!C304="unknown","Unknown",PROPER(TRIM('Cleaned-data'!C304)))</f>
        <v>B. Subhash</v>
      </c>
      <c r="I304" t="str">
        <f t="shared" si="9"/>
        <v>United States</v>
      </c>
      <c r="J304" s="2">
        <v>44742</v>
      </c>
    </row>
    <row r="305" spans="1:10" x14ac:dyDescent="0.3">
      <c r="A305" t="s">
        <v>1810</v>
      </c>
      <c r="C305" t="s">
        <v>2963</v>
      </c>
      <c r="D305" t="s">
        <v>16</v>
      </c>
      <c r="E305" s="2">
        <v>44743</v>
      </c>
      <c r="G305" t="str">
        <f t="shared" si="8"/>
        <v>H2O: Just Add Water</v>
      </c>
      <c r="H305" t="str">
        <f>IF('Cleaned-data'!C305="unknown","Unknown",PROPER(TRIM('Cleaned-data'!C305)))</f>
        <v>Unknown</v>
      </c>
      <c r="I305" t="str">
        <f t="shared" si="9"/>
        <v>United States</v>
      </c>
      <c r="J305" s="2">
        <v>44743</v>
      </c>
    </row>
    <row r="306" spans="1:10" x14ac:dyDescent="0.3">
      <c r="A306" t="s">
        <v>1815</v>
      </c>
      <c r="C306" t="s">
        <v>2963</v>
      </c>
      <c r="D306" t="s">
        <v>16</v>
      </c>
      <c r="E306" s="2">
        <v>44744</v>
      </c>
      <c r="G306" t="str">
        <f t="shared" si="8"/>
        <v>Good Morning, VerÃ´nica</v>
      </c>
      <c r="H306" t="str">
        <f>IF('Cleaned-data'!C306="unknown","Unknown",PROPER(TRIM('Cleaned-data'!C306)))</f>
        <v>Unknown</v>
      </c>
      <c r="I306" t="str">
        <f t="shared" si="9"/>
        <v>United States</v>
      </c>
      <c r="J306" s="2">
        <v>44744</v>
      </c>
    </row>
    <row r="307" spans="1:10" x14ac:dyDescent="0.3">
      <c r="A307" t="s">
        <v>1821</v>
      </c>
      <c r="C307" t="s">
        <v>1822</v>
      </c>
      <c r="D307" t="s">
        <v>16</v>
      </c>
      <c r="E307" s="2">
        <v>44745</v>
      </c>
      <c r="G307" t="str">
        <f t="shared" si="8"/>
        <v>Real Steel</v>
      </c>
      <c r="H307" t="str">
        <f>IF('Cleaned-data'!C307="unknown","Unknown",PROPER(TRIM('Cleaned-data'!C307)))</f>
        <v>Shawn Levy</v>
      </c>
      <c r="I307" t="str">
        <f t="shared" si="9"/>
        <v>United States</v>
      </c>
      <c r="J307" s="2">
        <v>44745</v>
      </c>
    </row>
    <row r="308" spans="1:10" x14ac:dyDescent="0.3">
      <c r="A308" t="s">
        <v>1827</v>
      </c>
      <c r="C308" t="s">
        <v>2963</v>
      </c>
      <c r="D308" t="s">
        <v>16</v>
      </c>
      <c r="E308" s="2">
        <v>44746</v>
      </c>
      <c r="G308" t="str">
        <f t="shared" si="8"/>
        <v>Cleverman</v>
      </c>
      <c r="H308" t="str">
        <f>IF('Cleaned-data'!C308="unknown","Unknown",PROPER(TRIM('Cleaned-data'!C308)))</f>
        <v>Unknown</v>
      </c>
      <c r="I308" t="str">
        <f t="shared" si="9"/>
        <v>United States</v>
      </c>
      <c r="J308" s="2">
        <v>44746</v>
      </c>
    </row>
    <row r="309" spans="1:10" x14ac:dyDescent="0.3">
      <c r="A309" t="s">
        <v>1832</v>
      </c>
      <c r="C309" t="s">
        <v>2963</v>
      </c>
      <c r="D309" t="s">
        <v>16</v>
      </c>
      <c r="E309" s="2">
        <v>44747</v>
      </c>
      <c r="G309" t="str">
        <f t="shared" si="8"/>
        <v>Away</v>
      </c>
      <c r="H309" t="str">
        <f>IF('Cleaned-data'!C309="unknown","Unknown",PROPER(TRIM('Cleaned-data'!C309)))</f>
        <v>Unknown</v>
      </c>
      <c r="I309" t="str">
        <f t="shared" si="9"/>
        <v>United States</v>
      </c>
      <c r="J309" s="2">
        <v>44747</v>
      </c>
    </row>
    <row r="310" spans="1:10" x14ac:dyDescent="0.3">
      <c r="A310" t="s">
        <v>1837</v>
      </c>
      <c r="C310" t="s">
        <v>2963</v>
      </c>
      <c r="D310" t="s">
        <v>16</v>
      </c>
      <c r="E310" s="2">
        <v>44748</v>
      </c>
      <c r="G310" t="str">
        <f t="shared" si="8"/>
        <v>The Witcher: A Look Inside the Episodes</v>
      </c>
      <c r="H310" t="str">
        <f>IF('Cleaned-data'!C310="unknown","Unknown",PROPER(TRIM('Cleaned-data'!C310)))</f>
        <v>Unknown</v>
      </c>
      <c r="I310" t="str">
        <f t="shared" si="9"/>
        <v>United States</v>
      </c>
      <c r="J310" s="2">
        <v>44748</v>
      </c>
    </row>
    <row r="311" spans="1:10" x14ac:dyDescent="0.3">
      <c r="A311" t="s">
        <v>1842</v>
      </c>
      <c r="C311" t="s">
        <v>1843</v>
      </c>
      <c r="D311" t="s">
        <v>16</v>
      </c>
      <c r="E311" s="2">
        <v>44749</v>
      </c>
      <c r="G311" t="str">
        <f t="shared" si="8"/>
        <v>Children of the Sea</v>
      </c>
      <c r="H311" t="str">
        <f>IF('Cleaned-data'!C311="unknown","Unknown",PROPER(TRIM('Cleaned-data'!C311)))</f>
        <v>Ayumu Watanabe</v>
      </c>
      <c r="I311" t="str">
        <f t="shared" si="9"/>
        <v>United States</v>
      </c>
      <c r="J311" s="2">
        <v>44749</v>
      </c>
    </row>
    <row r="312" spans="1:10" x14ac:dyDescent="0.3">
      <c r="A312" t="s">
        <v>1848</v>
      </c>
      <c r="C312" t="s">
        <v>1849</v>
      </c>
      <c r="D312" t="s">
        <v>16</v>
      </c>
      <c r="E312" s="2">
        <v>44750</v>
      </c>
      <c r="G312" t="str">
        <f t="shared" si="8"/>
        <v>Thomas and Friends</v>
      </c>
      <c r="H312" t="str">
        <f>IF('Cleaned-data'!C312="unknown","Unknown",PROPER(TRIM('Cleaned-data'!C312)))</f>
        <v>Greg Tiernan</v>
      </c>
      <c r="I312" t="str">
        <f t="shared" si="9"/>
        <v>United States</v>
      </c>
      <c r="J312" s="2">
        <v>44750</v>
      </c>
    </row>
    <row r="313" spans="1:10" x14ac:dyDescent="0.3">
      <c r="A313" t="s">
        <v>1854</v>
      </c>
      <c r="C313" t="s">
        <v>2963</v>
      </c>
      <c r="D313" t="s">
        <v>16</v>
      </c>
      <c r="E313" s="2">
        <v>44751</v>
      </c>
      <c r="G313" t="str">
        <f t="shared" si="8"/>
        <v>Baewatch: Parental Guidance</v>
      </c>
      <c r="H313" t="str">
        <f>IF('Cleaned-data'!C313="unknown","Unknown",PROPER(TRIM('Cleaned-data'!C313)))</f>
        <v>Unknown</v>
      </c>
      <c r="I313" t="str">
        <f t="shared" si="9"/>
        <v>United States</v>
      </c>
      <c r="J313" s="2">
        <v>44751</v>
      </c>
    </row>
    <row r="314" spans="1:10" x14ac:dyDescent="0.3">
      <c r="A314" t="s">
        <v>1858</v>
      </c>
      <c r="C314" t="s">
        <v>1859</v>
      </c>
      <c r="D314" t="s">
        <v>16</v>
      </c>
      <c r="E314" s="2">
        <v>44752</v>
      </c>
      <c r="G314" t="str">
        <f t="shared" si="8"/>
        <v>Islands of Faith</v>
      </c>
      <c r="H314" t="str">
        <f>IF('Cleaned-data'!C314="unknown","Unknown",PROPER(TRIM('Cleaned-data'!C314)))</f>
        <v>Chairun Nissa</v>
      </c>
      <c r="I314" t="str">
        <f t="shared" si="9"/>
        <v>United States</v>
      </c>
      <c r="J314" s="2">
        <v>44752</v>
      </c>
    </row>
    <row r="315" spans="1:10" x14ac:dyDescent="0.3">
      <c r="A315" t="s">
        <v>1863</v>
      </c>
      <c r="C315" t="s">
        <v>2963</v>
      </c>
      <c r="D315" t="s">
        <v>16</v>
      </c>
      <c r="E315" s="2">
        <v>44753</v>
      </c>
      <c r="G315" t="str">
        <f t="shared" si="8"/>
        <v>The Next Step</v>
      </c>
      <c r="H315" t="str">
        <f>IF('Cleaned-data'!C315="unknown","Unknown",PROPER(TRIM('Cleaned-data'!C315)))</f>
        <v>Unknown</v>
      </c>
      <c r="I315" t="str">
        <f t="shared" si="9"/>
        <v>United States</v>
      </c>
      <c r="J315" s="2">
        <v>44753</v>
      </c>
    </row>
    <row r="316" spans="1:10" x14ac:dyDescent="0.3">
      <c r="A316" t="s">
        <v>1868</v>
      </c>
      <c r="C316" t="s">
        <v>1869</v>
      </c>
      <c r="D316" t="s">
        <v>16</v>
      </c>
      <c r="E316" s="2">
        <v>44754</v>
      </c>
      <c r="G316" t="str">
        <f t="shared" si="8"/>
        <v>What Keeps You Alive</v>
      </c>
      <c r="H316" t="str">
        <f>IF('Cleaned-data'!C316="unknown","Unknown",PROPER(TRIM('Cleaned-data'!C316)))</f>
        <v>Colin Minihan</v>
      </c>
      <c r="I316" t="str">
        <f t="shared" si="9"/>
        <v>United States</v>
      </c>
      <c r="J316" s="2">
        <v>44754</v>
      </c>
    </row>
    <row r="317" spans="1:10" x14ac:dyDescent="0.3">
      <c r="A317" t="s">
        <v>1874</v>
      </c>
      <c r="C317" t="s">
        <v>2963</v>
      </c>
      <c r="D317" t="s">
        <v>16</v>
      </c>
      <c r="E317" s="2">
        <v>44755</v>
      </c>
      <c r="G317" t="str">
        <f t="shared" si="8"/>
        <v>The Umbrella Academy</v>
      </c>
      <c r="H317" t="str">
        <f>IF('Cleaned-data'!C317="unknown","Unknown",PROPER(TRIM('Cleaned-data'!C317)))</f>
        <v>Unknown</v>
      </c>
      <c r="I317" t="str">
        <f t="shared" si="9"/>
        <v>United States</v>
      </c>
      <c r="J317" s="2">
        <v>44755</v>
      </c>
    </row>
    <row r="318" spans="1:10" x14ac:dyDescent="0.3">
      <c r="A318" t="s">
        <v>1879</v>
      </c>
      <c r="C318" t="s">
        <v>2963</v>
      </c>
      <c r="D318" t="s">
        <v>16</v>
      </c>
      <c r="E318" s="2">
        <v>44756</v>
      </c>
      <c r="G318" t="str">
        <f t="shared" si="8"/>
        <v>Skin Decision: Before and After</v>
      </c>
      <c r="H318" t="str">
        <f>IF('Cleaned-data'!C318="unknown","Unknown",PROPER(TRIM('Cleaned-data'!C318)))</f>
        <v>Unknown</v>
      </c>
      <c r="I318" t="str">
        <f t="shared" si="9"/>
        <v>United States</v>
      </c>
      <c r="J318" s="2">
        <v>44756</v>
      </c>
    </row>
    <row r="319" spans="1:10" x14ac:dyDescent="0.3">
      <c r="A319" t="s">
        <v>1883</v>
      </c>
      <c r="C319" t="s">
        <v>2963</v>
      </c>
      <c r="D319" t="s">
        <v>16</v>
      </c>
      <c r="E319" s="2">
        <v>44757</v>
      </c>
      <c r="G319" t="str">
        <f t="shared" si="8"/>
        <v>The Epic Tales of Captain Underpants in Space</v>
      </c>
      <c r="H319" t="str">
        <f>IF('Cleaned-data'!C319="unknown","Unknown",PROPER(TRIM('Cleaned-data'!C319)))</f>
        <v>Unknown</v>
      </c>
      <c r="I319" t="str">
        <f t="shared" si="9"/>
        <v>United States</v>
      </c>
      <c r="J319" s="2">
        <v>44757</v>
      </c>
    </row>
    <row r="320" spans="1:10" x14ac:dyDescent="0.3">
      <c r="A320" t="s">
        <v>1888</v>
      </c>
      <c r="C320" t="s">
        <v>2963</v>
      </c>
      <c r="D320" t="s">
        <v>16</v>
      </c>
      <c r="E320" s="2">
        <v>44758</v>
      </c>
      <c r="G320" t="str">
        <f t="shared" si="8"/>
        <v>The Protector</v>
      </c>
      <c r="H320" t="str">
        <f>IF('Cleaned-data'!C320="unknown","Unknown",PROPER(TRIM('Cleaned-data'!C320)))</f>
        <v>Unknown</v>
      </c>
      <c r="I320" t="str">
        <f t="shared" si="9"/>
        <v>United States</v>
      </c>
      <c r="J320" s="2">
        <v>44758</v>
      </c>
    </row>
    <row r="321" spans="1:10" x14ac:dyDescent="0.3">
      <c r="A321" t="s">
        <v>1894</v>
      </c>
      <c r="C321" t="s">
        <v>1895</v>
      </c>
      <c r="D321" t="s">
        <v>16</v>
      </c>
      <c r="E321" s="2">
        <v>44759</v>
      </c>
      <c r="G321" t="str">
        <f t="shared" si="8"/>
        <v>Ride Like a Girl</v>
      </c>
      <c r="H321" t="str">
        <f>IF('Cleaned-data'!C321="unknown","Unknown",PROPER(TRIM('Cleaned-data'!C321)))</f>
        <v>Rachel Griffiths</v>
      </c>
      <c r="I321" t="str">
        <f t="shared" si="9"/>
        <v>United States</v>
      </c>
      <c r="J321" s="2">
        <v>44759</v>
      </c>
    </row>
    <row r="322" spans="1:10" x14ac:dyDescent="0.3">
      <c r="A322" t="s">
        <v>1900</v>
      </c>
      <c r="C322" t="s">
        <v>1901</v>
      </c>
      <c r="D322" t="s">
        <v>16</v>
      </c>
      <c r="E322" s="2">
        <v>44760</v>
      </c>
      <c r="G322" t="str">
        <f t="shared" si="8"/>
        <v>Eurovision Song Contest: The Story of Fire Saga</v>
      </c>
      <c r="H322" t="str">
        <f>IF('Cleaned-data'!C322="unknown","Unknown",PROPER(TRIM('Cleaned-data'!C322)))</f>
        <v>David Dobkin</v>
      </c>
      <c r="I322" t="str">
        <f t="shared" si="9"/>
        <v>United States</v>
      </c>
      <c r="J322" s="2">
        <v>44760</v>
      </c>
    </row>
    <row r="323" spans="1:10" x14ac:dyDescent="0.3">
      <c r="A323" t="s">
        <v>1906</v>
      </c>
      <c r="C323" t="s">
        <v>2963</v>
      </c>
      <c r="D323" t="s">
        <v>16</v>
      </c>
      <c r="E323" s="2">
        <v>44761</v>
      </c>
      <c r="G323" t="str">
        <f t="shared" ref="G323:G386" si="10">TRIM(A323)</f>
        <v>Twogether</v>
      </c>
      <c r="H323" t="str">
        <f>IF('Cleaned-data'!C323="unknown","Unknown",PROPER(TRIM('Cleaned-data'!C323)))</f>
        <v>Unknown</v>
      </c>
      <c r="I323" t="str">
        <f t="shared" ref="I323:I386" si="11">TRIM(D323)</f>
        <v>United States</v>
      </c>
      <c r="J323" s="2">
        <v>44761</v>
      </c>
    </row>
    <row r="324" spans="1:10" x14ac:dyDescent="0.3">
      <c r="A324" t="s">
        <v>1911</v>
      </c>
      <c r="C324" t="s">
        <v>2963</v>
      </c>
      <c r="D324" t="s">
        <v>16</v>
      </c>
      <c r="E324" s="2">
        <v>44762</v>
      </c>
      <c r="G324" t="str">
        <f t="shared" si="10"/>
        <v>Roswell, New Mexico</v>
      </c>
      <c r="H324" t="str">
        <f>IF('Cleaned-data'!C324="unknown","Unknown",PROPER(TRIM('Cleaned-data'!C324)))</f>
        <v>Unknown</v>
      </c>
      <c r="I324" t="str">
        <f t="shared" si="11"/>
        <v>United States</v>
      </c>
      <c r="J324" s="2">
        <v>44762</v>
      </c>
    </row>
    <row r="325" spans="1:10" x14ac:dyDescent="0.3">
      <c r="A325" t="s">
        <v>1916</v>
      </c>
      <c r="C325" t="s">
        <v>1917</v>
      </c>
      <c r="D325" t="s">
        <v>16</v>
      </c>
      <c r="E325" s="2">
        <v>44763</v>
      </c>
      <c r="G325" t="str">
        <f t="shared" si="10"/>
        <v>Okko's Inn</v>
      </c>
      <c r="H325" t="str">
        <f>IF('Cleaned-data'!C325="unknown","Unknown",PROPER(TRIM('Cleaned-data'!C325)))</f>
        <v>Kitaro Kosaka</v>
      </c>
      <c r="I325" t="str">
        <f t="shared" si="11"/>
        <v>United States</v>
      </c>
      <c r="J325" s="2">
        <v>44763</v>
      </c>
    </row>
    <row r="326" spans="1:10" x14ac:dyDescent="0.3">
      <c r="A326" t="s">
        <v>1922</v>
      </c>
      <c r="C326" t="s">
        <v>1431</v>
      </c>
      <c r="D326" t="s">
        <v>16</v>
      </c>
      <c r="E326" s="2">
        <v>44764</v>
      </c>
      <c r="G326" t="str">
        <f t="shared" si="10"/>
        <v>The Witch: Part 1 - The Subversion</v>
      </c>
      <c r="H326" t="str">
        <f>IF('Cleaned-data'!C326="unknown","Unknown",PROPER(TRIM('Cleaned-data'!C326)))</f>
        <v>Park Hoon-Jung</v>
      </c>
      <c r="I326" t="str">
        <f t="shared" si="11"/>
        <v>United States</v>
      </c>
      <c r="J326" s="2">
        <v>44764</v>
      </c>
    </row>
    <row r="327" spans="1:10" x14ac:dyDescent="0.3">
      <c r="A327" t="s">
        <v>1927</v>
      </c>
      <c r="C327" t="s">
        <v>2963</v>
      </c>
      <c r="D327" t="s">
        <v>16</v>
      </c>
      <c r="E327" s="2">
        <v>44765</v>
      </c>
      <c r="G327" t="str">
        <f t="shared" si="10"/>
        <v>Queen of the South</v>
      </c>
      <c r="H327" t="str">
        <f>IF('Cleaned-data'!C327="unknown","Unknown",PROPER(TRIM('Cleaned-data'!C327)))</f>
        <v>Unknown</v>
      </c>
      <c r="I327" t="str">
        <f t="shared" si="11"/>
        <v>United States</v>
      </c>
      <c r="J327" s="2">
        <v>44765</v>
      </c>
    </row>
    <row r="328" spans="1:10" x14ac:dyDescent="0.3">
      <c r="A328" t="s">
        <v>1932</v>
      </c>
      <c r="C328" t="s">
        <v>1933</v>
      </c>
      <c r="D328" t="s">
        <v>16</v>
      </c>
      <c r="E328" s="2">
        <v>44766</v>
      </c>
      <c r="G328" t="str">
        <f t="shared" si="10"/>
        <v>Supernatural</v>
      </c>
      <c r="H328" t="str">
        <f>IF('Cleaned-data'!C328="unknown","Unknown",PROPER(TRIM('Cleaned-data'!C328)))</f>
        <v>Phil Sgriccia</v>
      </c>
      <c r="I328" t="str">
        <f t="shared" si="11"/>
        <v>United States</v>
      </c>
      <c r="J328" s="2">
        <v>44766</v>
      </c>
    </row>
    <row r="329" spans="1:10" x14ac:dyDescent="0.3">
      <c r="A329" t="s">
        <v>1939</v>
      </c>
      <c r="C329" t="s">
        <v>2963</v>
      </c>
      <c r="D329" t="s">
        <v>16</v>
      </c>
      <c r="E329" s="2">
        <v>44767</v>
      </c>
      <c r="G329" t="str">
        <f t="shared" si="10"/>
        <v>Dear My Friends</v>
      </c>
      <c r="H329" t="str">
        <f>IF('Cleaned-data'!C329="unknown","Unknown",PROPER(TRIM('Cleaned-data'!C329)))</f>
        <v>Unknown</v>
      </c>
      <c r="I329" t="str">
        <f t="shared" si="11"/>
        <v>United States</v>
      </c>
      <c r="J329" s="2">
        <v>44767</v>
      </c>
    </row>
    <row r="330" spans="1:10" x14ac:dyDescent="0.3">
      <c r="A330" t="s">
        <v>1944</v>
      </c>
      <c r="C330" t="s">
        <v>2963</v>
      </c>
      <c r="D330" t="s">
        <v>16</v>
      </c>
      <c r="E330" s="2">
        <v>44768</v>
      </c>
      <c r="G330" t="str">
        <f t="shared" si="10"/>
        <v>Betaal</v>
      </c>
      <c r="H330" t="str">
        <f>IF('Cleaned-data'!C330="unknown","Unknown",PROPER(TRIM('Cleaned-data'!C330)))</f>
        <v>Unknown</v>
      </c>
      <c r="I330" t="str">
        <f t="shared" si="11"/>
        <v>United States</v>
      </c>
      <c r="J330" s="2">
        <v>44768</v>
      </c>
    </row>
    <row r="331" spans="1:10" x14ac:dyDescent="0.3">
      <c r="A331" t="s">
        <v>1949</v>
      </c>
      <c r="C331" t="s">
        <v>1950</v>
      </c>
      <c r="D331" t="s">
        <v>16</v>
      </c>
      <c r="E331" s="2">
        <v>44769</v>
      </c>
      <c r="G331" t="str">
        <f t="shared" si="10"/>
        <v>The Lovebirds</v>
      </c>
      <c r="H331" t="str">
        <f>IF('Cleaned-data'!C331="unknown","Unknown",PROPER(TRIM('Cleaned-data'!C331)))</f>
        <v>Michael Showalter</v>
      </c>
      <c r="I331" t="str">
        <f t="shared" si="11"/>
        <v>United States</v>
      </c>
      <c r="J331" s="2">
        <v>44769</v>
      </c>
    </row>
    <row r="332" spans="1:10" x14ac:dyDescent="0.3">
      <c r="A332" t="s">
        <v>1955</v>
      </c>
      <c r="C332" t="s">
        <v>2963</v>
      </c>
      <c r="D332" t="s">
        <v>16</v>
      </c>
      <c r="E332" s="2">
        <v>44770</v>
      </c>
      <c r="G332" t="str">
        <f t="shared" si="10"/>
        <v>Iris</v>
      </c>
      <c r="H332" t="str">
        <f>IF('Cleaned-data'!C332="unknown","Unknown",PROPER(TRIM('Cleaned-data'!C332)))</f>
        <v>Unknown</v>
      </c>
      <c r="I332" t="str">
        <f t="shared" si="11"/>
        <v>United States</v>
      </c>
      <c r="J332" s="2">
        <v>44770</v>
      </c>
    </row>
    <row r="333" spans="1:10" x14ac:dyDescent="0.3">
      <c r="A333" t="s">
        <v>1960</v>
      </c>
      <c r="C333" t="s">
        <v>2963</v>
      </c>
      <c r="D333" t="s">
        <v>16</v>
      </c>
      <c r="E333" s="2">
        <v>44771</v>
      </c>
      <c r="G333" t="str">
        <f t="shared" si="10"/>
        <v>Avatar: The Last Airbender</v>
      </c>
      <c r="H333" t="str">
        <f>IF('Cleaned-data'!C333="unknown","Unknown",PROPER(TRIM('Cleaned-data'!C333)))</f>
        <v>Unknown</v>
      </c>
      <c r="I333" t="str">
        <f t="shared" si="11"/>
        <v>United States</v>
      </c>
      <c r="J333" s="2">
        <v>44771</v>
      </c>
    </row>
    <row r="334" spans="1:10" x14ac:dyDescent="0.3">
      <c r="A334" t="s">
        <v>1965</v>
      </c>
      <c r="C334" t="s">
        <v>2963</v>
      </c>
      <c r="D334" t="s">
        <v>16</v>
      </c>
      <c r="E334" s="2">
        <v>44772</v>
      </c>
      <c r="G334" t="str">
        <f t="shared" si="10"/>
        <v>Parasyte: The Maxim</v>
      </c>
      <c r="H334" t="str">
        <f>IF('Cleaned-data'!C334="unknown","Unknown",PROPER(TRIM('Cleaned-data'!C334)))</f>
        <v>Unknown</v>
      </c>
      <c r="I334" t="str">
        <f t="shared" si="11"/>
        <v>United States</v>
      </c>
      <c r="J334" s="2">
        <v>44772</v>
      </c>
    </row>
    <row r="335" spans="1:10" x14ac:dyDescent="0.3">
      <c r="A335" t="s">
        <v>1970</v>
      </c>
      <c r="C335" t="s">
        <v>2963</v>
      </c>
      <c r="D335" t="s">
        <v>16</v>
      </c>
      <c r="E335" s="2">
        <v>44773</v>
      </c>
      <c r="G335" t="str">
        <f t="shared" si="10"/>
        <v>Strangers from Hell</v>
      </c>
      <c r="H335" t="str">
        <f>IF('Cleaned-data'!C335="unknown","Unknown",PROPER(TRIM('Cleaned-data'!C335)))</f>
        <v>Unknown</v>
      </c>
      <c r="I335" t="str">
        <f t="shared" si="11"/>
        <v>United States</v>
      </c>
      <c r="J335" s="2">
        <v>44773</v>
      </c>
    </row>
    <row r="336" spans="1:10" x14ac:dyDescent="0.3">
      <c r="A336" t="s">
        <v>1975</v>
      </c>
      <c r="C336" t="s">
        <v>1976</v>
      </c>
      <c r="D336" t="s">
        <v>16</v>
      </c>
      <c r="E336" s="2">
        <v>44774</v>
      </c>
      <c r="G336" t="str">
        <f t="shared" si="10"/>
        <v>Action Replayy</v>
      </c>
      <c r="H336" t="str">
        <f>IF('Cleaned-data'!C336="unknown","Unknown",PROPER(TRIM('Cleaned-data'!C336)))</f>
        <v>Vipul Amrutlal Shah</v>
      </c>
      <c r="I336" t="str">
        <f t="shared" si="11"/>
        <v>United States</v>
      </c>
      <c r="J336" s="2">
        <v>44774</v>
      </c>
    </row>
    <row r="337" spans="1:10" x14ac:dyDescent="0.3">
      <c r="A337" t="s">
        <v>1981</v>
      </c>
      <c r="C337" t="s">
        <v>1982</v>
      </c>
      <c r="D337" t="s">
        <v>16</v>
      </c>
      <c r="E337" s="2">
        <v>44775</v>
      </c>
      <c r="G337" t="str">
        <f t="shared" si="10"/>
        <v>Aerials</v>
      </c>
      <c r="H337" t="str">
        <f>IF('Cleaned-data'!C337="unknown","Unknown",PROPER(TRIM('Cleaned-data'!C337)))</f>
        <v>S.A. Zaidi</v>
      </c>
      <c r="I337" t="str">
        <f t="shared" si="11"/>
        <v>United States</v>
      </c>
      <c r="J337" s="2">
        <v>44775</v>
      </c>
    </row>
    <row r="338" spans="1:10" x14ac:dyDescent="0.3">
      <c r="A338" t="s">
        <v>1987</v>
      </c>
      <c r="C338" t="s">
        <v>1988</v>
      </c>
      <c r="D338" t="s">
        <v>16</v>
      </c>
      <c r="E338" s="2">
        <v>44776</v>
      </c>
      <c r="G338" t="str">
        <f t="shared" si="10"/>
        <v>In Paradox</v>
      </c>
      <c r="H338" t="str">
        <f>IF('Cleaned-data'!C338="unknown","Unknown",PROPER(TRIM('Cleaned-data'!C338)))</f>
        <v>Hamad Alsarraf</v>
      </c>
      <c r="I338" t="str">
        <f t="shared" si="11"/>
        <v>United States</v>
      </c>
      <c r="J338" s="2">
        <v>44776</v>
      </c>
    </row>
    <row r="339" spans="1:10" x14ac:dyDescent="0.3">
      <c r="A339" t="s">
        <v>1993</v>
      </c>
      <c r="C339" t="s">
        <v>1686</v>
      </c>
      <c r="D339" t="s">
        <v>16</v>
      </c>
      <c r="E339" s="2">
        <v>44777</v>
      </c>
      <c r="G339" t="str">
        <f t="shared" si="10"/>
        <v>Roped</v>
      </c>
      <c r="H339" t="str">
        <f>IF('Cleaned-data'!C339="unknown","Unknown",PROPER(TRIM('Cleaned-data'!C339)))</f>
        <v>Shaun Paul Piccinino</v>
      </c>
      <c r="I339" t="str">
        <f t="shared" si="11"/>
        <v>United States</v>
      </c>
      <c r="J339" s="2">
        <v>44777</v>
      </c>
    </row>
    <row r="340" spans="1:10" x14ac:dyDescent="0.3">
      <c r="A340" t="s">
        <v>1998</v>
      </c>
      <c r="C340" t="s">
        <v>2963</v>
      </c>
      <c r="D340" t="s">
        <v>16</v>
      </c>
      <c r="E340" s="2">
        <v>44778</v>
      </c>
      <c r="G340" t="str">
        <f t="shared" si="10"/>
        <v>Monthly Girls' Nozaki Kun</v>
      </c>
      <c r="H340" t="str">
        <f>IF('Cleaned-data'!C340="unknown","Unknown",PROPER(TRIM('Cleaned-data'!C340)))</f>
        <v>Unknown</v>
      </c>
      <c r="I340" t="str">
        <f t="shared" si="11"/>
        <v>United States</v>
      </c>
      <c r="J340" s="2">
        <v>44778</v>
      </c>
    </row>
    <row r="341" spans="1:10" x14ac:dyDescent="0.3">
      <c r="A341" t="s">
        <v>2003</v>
      </c>
      <c r="C341" t="s">
        <v>2004</v>
      </c>
      <c r="D341" t="s">
        <v>16</v>
      </c>
      <c r="E341" s="2">
        <v>44779</v>
      </c>
      <c r="G341" t="str">
        <f t="shared" si="10"/>
        <v>The Half Of It</v>
      </c>
      <c r="H341" t="str">
        <f>IF('Cleaned-data'!C341="unknown","Unknown",PROPER(TRIM('Cleaned-data'!C341)))</f>
        <v>Alice Wu</v>
      </c>
      <c r="I341" t="str">
        <f t="shared" si="11"/>
        <v>United States</v>
      </c>
      <c r="J341" s="2">
        <v>44779</v>
      </c>
    </row>
    <row r="342" spans="1:10" x14ac:dyDescent="0.3">
      <c r="A342" t="s">
        <v>2009</v>
      </c>
      <c r="C342" t="s">
        <v>2963</v>
      </c>
      <c r="D342" t="s">
        <v>16</v>
      </c>
      <c r="E342" s="2">
        <v>44780</v>
      </c>
      <c r="G342" t="str">
        <f t="shared" si="10"/>
        <v>The Last Kingdom</v>
      </c>
      <c r="H342" t="str">
        <f>IF('Cleaned-data'!C342="unknown","Unknown",PROPER(TRIM('Cleaned-data'!C342)))</f>
        <v>Unknown</v>
      </c>
      <c r="I342" t="str">
        <f t="shared" si="11"/>
        <v>United States</v>
      </c>
      <c r="J342" s="2">
        <v>44780</v>
      </c>
    </row>
    <row r="343" spans="1:10" x14ac:dyDescent="0.3">
      <c r="A343" t="s">
        <v>2014</v>
      </c>
      <c r="C343" t="s">
        <v>2963</v>
      </c>
      <c r="D343" t="s">
        <v>16</v>
      </c>
      <c r="E343" s="2">
        <v>44781</v>
      </c>
      <c r="G343" t="str">
        <f t="shared" si="10"/>
        <v>Absurd Planet</v>
      </c>
      <c r="H343" t="str">
        <f>IF('Cleaned-data'!C343="unknown","Unknown",PROPER(TRIM('Cleaned-data'!C343)))</f>
        <v>Unknown</v>
      </c>
      <c r="I343" t="str">
        <f t="shared" si="11"/>
        <v>United States</v>
      </c>
      <c r="J343" s="2">
        <v>44781</v>
      </c>
    </row>
    <row r="344" spans="1:10" x14ac:dyDescent="0.3">
      <c r="A344" t="s">
        <v>2019</v>
      </c>
      <c r="C344" t="s">
        <v>2020</v>
      </c>
      <c r="D344" t="s">
        <v>16</v>
      </c>
      <c r="E344" s="2">
        <v>44782</v>
      </c>
      <c r="G344" t="str">
        <f t="shared" si="10"/>
        <v>Fary : Hexagone</v>
      </c>
      <c r="H344" t="str">
        <f>IF('Cleaned-data'!C344="unknown","Unknown",PROPER(TRIM('Cleaned-data'!C344)))</f>
        <v>Adrien Lagier, Ousmane Ly</v>
      </c>
      <c r="I344" t="str">
        <f t="shared" si="11"/>
        <v>United States</v>
      </c>
      <c r="J344" s="2">
        <v>44782</v>
      </c>
    </row>
    <row r="345" spans="1:10" x14ac:dyDescent="0.3">
      <c r="A345" t="s">
        <v>2025</v>
      </c>
      <c r="C345" t="s">
        <v>2026</v>
      </c>
      <c r="D345" t="s">
        <v>16</v>
      </c>
      <c r="E345" s="2">
        <v>44783</v>
      </c>
      <c r="G345" t="str">
        <f t="shared" si="10"/>
        <v>Jem and the Holograms</v>
      </c>
      <c r="H345" t="str">
        <f>IF('Cleaned-data'!C345="unknown","Unknown",PROPER(TRIM('Cleaned-data'!C345)))</f>
        <v>Jon M. Chu</v>
      </c>
      <c r="I345" t="str">
        <f t="shared" si="11"/>
        <v>United States</v>
      </c>
      <c r="J345" s="2">
        <v>44783</v>
      </c>
    </row>
    <row r="346" spans="1:10" x14ac:dyDescent="0.3">
      <c r="A346" t="s">
        <v>2031</v>
      </c>
      <c r="C346" t="s">
        <v>2032</v>
      </c>
      <c r="D346" t="s">
        <v>16</v>
      </c>
      <c r="E346" s="2">
        <v>44784</v>
      </c>
      <c r="G346" t="str">
        <f t="shared" si="10"/>
        <v>Code 8</v>
      </c>
      <c r="H346" t="str">
        <f>IF('Cleaned-data'!C346="unknown","Unknown",PROPER(TRIM('Cleaned-data'!C346)))</f>
        <v>Jeff Chan</v>
      </c>
      <c r="I346" t="str">
        <f t="shared" si="11"/>
        <v>United States</v>
      </c>
      <c r="J346" s="2">
        <v>44784</v>
      </c>
    </row>
    <row r="347" spans="1:10" x14ac:dyDescent="0.3">
      <c r="A347" t="s">
        <v>2037</v>
      </c>
      <c r="C347" t="s">
        <v>2038</v>
      </c>
      <c r="D347" t="s">
        <v>16</v>
      </c>
      <c r="E347" s="2">
        <v>44785</v>
      </c>
      <c r="G347" t="str">
        <f t="shared" si="10"/>
        <v>The Last Airbender</v>
      </c>
      <c r="H347" t="str">
        <f>IF('Cleaned-data'!C347="unknown","Unknown",PROPER(TRIM('Cleaned-data'!C347)))</f>
        <v>M. Night Shyamalan</v>
      </c>
      <c r="I347" t="str">
        <f t="shared" si="11"/>
        <v>United States</v>
      </c>
      <c r="J347" s="2">
        <v>44785</v>
      </c>
    </row>
    <row r="348" spans="1:10" x14ac:dyDescent="0.3">
      <c r="A348" t="s">
        <v>2043</v>
      </c>
      <c r="C348" t="s">
        <v>2044</v>
      </c>
      <c r="D348" t="s">
        <v>16</v>
      </c>
      <c r="E348" s="2">
        <v>44786</v>
      </c>
      <c r="G348" t="str">
        <f t="shared" si="10"/>
        <v>Dark Light</v>
      </c>
      <c r="H348" t="str">
        <f>IF('Cleaned-data'!C348="unknown","Unknown",PROPER(TRIM('Cleaned-data'!C348)))</f>
        <v>Padraig Reynolds</v>
      </c>
      <c r="I348" t="str">
        <f t="shared" si="11"/>
        <v>United States</v>
      </c>
      <c r="J348" s="2">
        <v>44786</v>
      </c>
    </row>
    <row r="349" spans="1:10" x14ac:dyDescent="0.3">
      <c r="A349" t="s">
        <v>2049</v>
      </c>
      <c r="C349" t="s">
        <v>2963</v>
      </c>
      <c r="D349" t="s">
        <v>16</v>
      </c>
      <c r="E349" s="2">
        <v>44787</v>
      </c>
      <c r="G349" t="str">
        <f t="shared" si="10"/>
        <v>Legacies</v>
      </c>
      <c r="H349" t="str">
        <f>IF('Cleaned-data'!C349="unknown","Unknown",PROPER(TRIM('Cleaned-data'!C349)))</f>
        <v>Unknown</v>
      </c>
      <c r="I349" t="str">
        <f t="shared" si="11"/>
        <v>United States</v>
      </c>
      <c r="J349" s="2">
        <v>44787</v>
      </c>
    </row>
    <row r="350" spans="1:10" x14ac:dyDescent="0.3">
      <c r="A350" t="s">
        <v>2054</v>
      </c>
      <c r="C350" t="s">
        <v>2055</v>
      </c>
      <c r="D350" t="s">
        <v>16</v>
      </c>
      <c r="E350" s="2">
        <v>44788</v>
      </c>
      <c r="G350" t="str">
        <f t="shared" si="10"/>
        <v>Violet Evergarden: Eternity and the Auto Memory Doll</v>
      </c>
      <c r="H350" t="str">
        <f>IF('Cleaned-data'!C350="unknown","Unknown",PROPER(TRIM('Cleaned-data'!C350)))</f>
        <v>Haruka Fujita</v>
      </c>
      <c r="I350" t="str">
        <f t="shared" si="11"/>
        <v>United States</v>
      </c>
      <c r="J350" s="2">
        <v>44788</v>
      </c>
    </row>
    <row r="351" spans="1:10" x14ac:dyDescent="0.3">
      <c r="A351" t="s">
        <v>2061</v>
      </c>
      <c r="C351" t="s">
        <v>2062</v>
      </c>
      <c r="D351" t="s">
        <v>16</v>
      </c>
      <c r="E351" s="2">
        <v>44789</v>
      </c>
      <c r="G351" t="str">
        <f t="shared" si="10"/>
        <v>The Runaways</v>
      </c>
      <c r="H351" t="str">
        <f>IF('Cleaned-data'!C351="unknown","Unknown",PROPER(TRIM('Cleaned-data'!C351)))</f>
        <v>Floria Sigismondi</v>
      </c>
      <c r="I351" t="str">
        <f t="shared" si="11"/>
        <v>United States</v>
      </c>
      <c r="J351" s="2">
        <v>44789</v>
      </c>
    </row>
    <row r="352" spans="1:10" x14ac:dyDescent="0.3">
      <c r="A352" t="s">
        <v>2067</v>
      </c>
      <c r="C352" t="s">
        <v>2963</v>
      </c>
      <c r="D352" t="s">
        <v>16</v>
      </c>
      <c r="E352" s="2">
        <v>44790</v>
      </c>
      <c r="G352" t="str">
        <f t="shared" si="10"/>
        <v>AkbarÂ Birbal</v>
      </c>
      <c r="H352" t="str">
        <f>IF('Cleaned-data'!C352="unknown","Unknown",PROPER(TRIM('Cleaned-data'!C352)))</f>
        <v>Unknown</v>
      </c>
      <c r="I352" t="str">
        <f t="shared" si="11"/>
        <v>United States</v>
      </c>
      <c r="J352" s="2">
        <v>44790</v>
      </c>
    </row>
    <row r="353" spans="1:10" x14ac:dyDescent="0.3">
      <c r="A353" t="s">
        <v>2072</v>
      </c>
      <c r="C353" t="s">
        <v>2073</v>
      </c>
      <c r="D353" t="s">
        <v>16</v>
      </c>
      <c r="E353" s="2">
        <v>44791</v>
      </c>
      <c r="G353" t="str">
        <f t="shared" si="10"/>
        <v>Bethany Hamilton: Unstoppable</v>
      </c>
      <c r="H353" t="str">
        <f>IF('Cleaned-data'!C353="unknown","Unknown",PROPER(TRIM('Cleaned-data'!C353)))</f>
        <v>Aaron Lieber</v>
      </c>
      <c r="I353" t="str">
        <f t="shared" si="11"/>
        <v>United States</v>
      </c>
      <c r="J353" s="2">
        <v>44791</v>
      </c>
    </row>
    <row r="354" spans="1:10" x14ac:dyDescent="0.3">
      <c r="A354">
        <v>3022</v>
      </c>
      <c r="C354" t="s">
        <v>2078</v>
      </c>
      <c r="D354" t="s">
        <v>16</v>
      </c>
      <c r="E354" s="2">
        <v>44792</v>
      </c>
      <c r="G354" t="str">
        <f t="shared" si="10"/>
        <v>3022</v>
      </c>
      <c r="H354" t="str">
        <f>IF('Cleaned-data'!C354="unknown","Unknown",PROPER(TRIM('Cleaned-data'!C354)))</f>
        <v>John Suits</v>
      </c>
      <c r="I354" t="str">
        <f t="shared" si="11"/>
        <v>United States</v>
      </c>
      <c r="J354" s="2">
        <v>44792</v>
      </c>
    </row>
    <row r="355" spans="1:10" x14ac:dyDescent="0.3">
      <c r="A355" t="s">
        <v>2083</v>
      </c>
      <c r="C355" t="s">
        <v>2084</v>
      </c>
      <c r="D355" t="s">
        <v>16</v>
      </c>
      <c r="E355" s="2">
        <v>44793</v>
      </c>
      <c r="G355" t="str">
        <f t="shared" si="10"/>
        <v>Lu Over the Wall</v>
      </c>
      <c r="H355" t="str">
        <f>IF('Cleaned-data'!C355="unknown","Unknown",PROPER(TRIM('Cleaned-data'!C355)))</f>
        <v>Masaaki Yuasa</v>
      </c>
      <c r="I355" t="str">
        <f t="shared" si="11"/>
        <v>United States</v>
      </c>
      <c r="J355" s="2">
        <v>44793</v>
      </c>
    </row>
    <row r="356" spans="1:10" x14ac:dyDescent="0.3">
      <c r="A356" t="s">
        <v>2089</v>
      </c>
      <c r="C356" t="s">
        <v>2963</v>
      </c>
      <c r="D356" t="s">
        <v>16</v>
      </c>
      <c r="E356" s="2">
        <v>44794</v>
      </c>
      <c r="G356" t="str">
        <f t="shared" si="10"/>
        <v>I Am Not Okay With This</v>
      </c>
      <c r="H356" t="str">
        <f>IF('Cleaned-data'!C356="unknown","Unknown",PROPER(TRIM('Cleaned-data'!C356)))</f>
        <v>Unknown</v>
      </c>
      <c r="I356" t="str">
        <f t="shared" si="11"/>
        <v>United States</v>
      </c>
      <c r="J356" s="2">
        <v>44794</v>
      </c>
    </row>
    <row r="357" spans="1:10" x14ac:dyDescent="0.3">
      <c r="A357" t="s">
        <v>2094</v>
      </c>
      <c r="C357" t="s">
        <v>2095</v>
      </c>
      <c r="D357" t="s">
        <v>16</v>
      </c>
      <c r="E357" s="2">
        <v>44795</v>
      </c>
      <c r="G357" t="str">
        <f t="shared" si="10"/>
        <v>Arrow</v>
      </c>
      <c r="H357" t="str">
        <f>IF('Cleaned-data'!C357="unknown","Unknown",PROPER(TRIM('Cleaned-data'!C357)))</f>
        <v>James Bamford</v>
      </c>
      <c r="I357" t="str">
        <f t="shared" si="11"/>
        <v>United States</v>
      </c>
      <c r="J357" s="2">
        <v>44795</v>
      </c>
    </row>
    <row r="358" spans="1:10" x14ac:dyDescent="0.3">
      <c r="A358" t="s">
        <v>2100</v>
      </c>
      <c r="C358" t="s">
        <v>2101</v>
      </c>
      <c r="D358" t="s">
        <v>16</v>
      </c>
      <c r="E358" s="2">
        <v>44796</v>
      </c>
      <c r="G358" t="str">
        <f t="shared" si="10"/>
        <v>Faith, Hope &amp; Love</v>
      </c>
      <c r="H358" t="str">
        <f>IF('Cleaned-data'!C358="unknown","Unknown",PROPER(TRIM('Cleaned-data'!C358)))</f>
        <v>Robert Krantz</v>
      </c>
      <c r="I358" t="str">
        <f t="shared" si="11"/>
        <v>United States</v>
      </c>
      <c r="J358" s="2">
        <v>44796</v>
      </c>
    </row>
    <row r="359" spans="1:10" x14ac:dyDescent="0.3">
      <c r="A359" t="s">
        <v>2106</v>
      </c>
      <c r="C359" t="s">
        <v>2107</v>
      </c>
      <c r="D359" t="s">
        <v>16</v>
      </c>
      <c r="E359" s="2">
        <v>44797</v>
      </c>
      <c r="G359" t="str">
        <f t="shared" si="10"/>
        <v>Miraculous: Tales of Ladybug &amp; Cat Noir</v>
      </c>
      <c r="H359" t="str">
        <f>IF('Cleaned-data'!C359="unknown","Unknown",PROPER(TRIM('Cleaned-data'!C359)))</f>
        <v>Thomas Astruc</v>
      </c>
      <c r="I359" t="str">
        <f t="shared" si="11"/>
        <v>United States</v>
      </c>
      <c r="J359" s="2">
        <v>44797</v>
      </c>
    </row>
    <row r="360" spans="1:10" x14ac:dyDescent="0.3">
      <c r="A360" t="s">
        <v>2112</v>
      </c>
      <c r="C360" t="s">
        <v>2113</v>
      </c>
      <c r="D360" t="s">
        <v>16</v>
      </c>
      <c r="E360" s="2">
        <v>44798</v>
      </c>
      <c r="G360" t="str">
        <f t="shared" si="10"/>
        <v>The Brave</v>
      </c>
      <c r="H360" t="str">
        <f>IF('Cleaned-data'!C360="unknown","Unknown",PROPER(TRIM('Cleaned-data'!C360)))</f>
        <v>William Kaufman</v>
      </c>
      <c r="I360" t="str">
        <f t="shared" si="11"/>
        <v>United States</v>
      </c>
      <c r="J360" s="2">
        <v>44798</v>
      </c>
    </row>
    <row r="361" spans="1:10" x14ac:dyDescent="0.3">
      <c r="A361" t="s">
        <v>2119</v>
      </c>
      <c r="C361" t="s">
        <v>2963</v>
      </c>
      <c r="D361" t="s">
        <v>16</v>
      </c>
      <c r="E361" s="2">
        <v>44799</v>
      </c>
      <c r="G361" t="str">
        <f t="shared" si="10"/>
        <v>Until Dawn</v>
      </c>
      <c r="H361" t="str">
        <f>IF('Cleaned-data'!C361="unknown","Unknown",PROPER(TRIM('Cleaned-data'!C361)))</f>
        <v>Unknown</v>
      </c>
      <c r="I361" t="str">
        <f t="shared" si="11"/>
        <v>United States</v>
      </c>
      <c r="J361" s="2">
        <v>44799</v>
      </c>
    </row>
    <row r="362" spans="1:10" x14ac:dyDescent="0.3">
      <c r="A362" t="s">
        <v>2124</v>
      </c>
      <c r="C362" t="s">
        <v>2963</v>
      </c>
      <c r="D362" t="s">
        <v>16</v>
      </c>
      <c r="E362" s="2">
        <v>44800</v>
      </c>
      <c r="G362" t="str">
        <f t="shared" si="10"/>
        <v>Cheer</v>
      </c>
      <c r="H362" t="str">
        <f>IF('Cleaned-data'!C362="unknown","Unknown",PROPER(TRIM('Cleaned-data'!C362)))</f>
        <v>Unknown</v>
      </c>
      <c r="I362" t="str">
        <f t="shared" si="11"/>
        <v>United States</v>
      </c>
      <c r="J362" s="2">
        <v>44800</v>
      </c>
    </row>
    <row r="363" spans="1:10" x14ac:dyDescent="0.3">
      <c r="A363" t="s">
        <v>2128</v>
      </c>
      <c r="C363" t="s">
        <v>2963</v>
      </c>
      <c r="D363" t="s">
        <v>16</v>
      </c>
      <c r="E363" s="2">
        <v>44801</v>
      </c>
      <c r="G363" t="str">
        <f t="shared" si="10"/>
        <v>Border Security: America's Front Line</v>
      </c>
      <c r="H363" t="str">
        <f>IF('Cleaned-data'!C363="unknown","Unknown",PROPER(TRIM('Cleaned-data'!C363)))</f>
        <v>Unknown</v>
      </c>
      <c r="I363" t="str">
        <f t="shared" si="11"/>
        <v>United States</v>
      </c>
      <c r="J363" s="2">
        <v>44801</v>
      </c>
    </row>
    <row r="364" spans="1:10" x14ac:dyDescent="0.3">
      <c r="A364" t="s">
        <v>2132</v>
      </c>
      <c r="C364" t="s">
        <v>2963</v>
      </c>
      <c r="D364" t="s">
        <v>16</v>
      </c>
      <c r="E364" s="2">
        <v>44802</v>
      </c>
      <c r="G364" t="str">
        <f t="shared" si="10"/>
        <v>Cells at Work!</v>
      </c>
      <c r="H364" t="str">
        <f>IF('Cleaned-data'!C364="unknown","Unknown",PROPER(TRIM('Cleaned-data'!C364)))</f>
        <v>Unknown</v>
      </c>
      <c r="I364" t="str">
        <f t="shared" si="11"/>
        <v>United States</v>
      </c>
      <c r="J364" s="2">
        <v>44802</v>
      </c>
    </row>
    <row r="365" spans="1:10" x14ac:dyDescent="0.3">
      <c r="A365" t="s">
        <v>2137</v>
      </c>
      <c r="C365" t="s">
        <v>2138</v>
      </c>
      <c r="D365" t="s">
        <v>16</v>
      </c>
      <c r="E365" s="2">
        <v>44803</v>
      </c>
      <c r="G365" t="str">
        <f t="shared" si="10"/>
        <v>You</v>
      </c>
      <c r="H365" t="str">
        <f>IF('Cleaned-data'!C365="unknown","Unknown",PROPER(TRIM('Cleaned-data'!C365)))</f>
        <v>Lee Toland Krieger</v>
      </c>
      <c r="I365" t="str">
        <f t="shared" si="11"/>
        <v>United States</v>
      </c>
      <c r="J365" s="2">
        <v>44803</v>
      </c>
    </row>
    <row r="366" spans="1:10" x14ac:dyDescent="0.3">
      <c r="A366" t="s">
        <v>2143</v>
      </c>
      <c r="C366" t="s">
        <v>2144</v>
      </c>
      <c r="D366" t="s">
        <v>16</v>
      </c>
      <c r="E366" s="2">
        <v>44804</v>
      </c>
      <c r="G366" t="str">
        <f t="shared" si="10"/>
        <v>Fireworks</v>
      </c>
      <c r="H366" t="str">
        <f>IF('Cleaned-data'!C366="unknown","Unknown",PROPER(TRIM('Cleaned-data'!C366)))</f>
        <v>Akiyuki Shinbo, Nobuyuki Takeuchi</v>
      </c>
      <c r="I366" t="str">
        <f t="shared" si="11"/>
        <v>United States</v>
      </c>
      <c r="J366" s="2">
        <v>44804</v>
      </c>
    </row>
    <row r="367" spans="1:10" x14ac:dyDescent="0.3">
      <c r="A367" t="s">
        <v>2149</v>
      </c>
      <c r="C367" t="s">
        <v>1328</v>
      </c>
      <c r="D367" t="s">
        <v>16</v>
      </c>
      <c r="E367" s="2">
        <v>44805</v>
      </c>
      <c r="G367" t="str">
        <f t="shared" si="10"/>
        <v>Sweetheart</v>
      </c>
      <c r="H367" t="str">
        <f>IF('Cleaned-data'!C367="unknown","Unknown",PROPER(TRIM('Cleaned-data'!C367)))</f>
        <v>J.D. Dillard</v>
      </c>
      <c r="I367" t="str">
        <f t="shared" si="11"/>
        <v>United States</v>
      </c>
      <c r="J367" s="2">
        <v>44805</v>
      </c>
    </row>
    <row r="368" spans="1:10" x14ac:dyDescent="0.3">
      <c r="A368" t="s">
        <v>2155</v>
      </c>
      <c r="C368" t="s">
        <v>2963</v>
      </c>
      <c r="D368" t="s">
        <v>16</v>
      </c>
      <c r="E368" s="2">
        <v>44806</v>
      </c>
      <c r="G368" t="str">
        <f t="shared" si="10"/>
        <v>Once Upon A Time In Lingjian Mountain</v>
      </c>
      <c r="H368" t="str">
        <f>IF('Cleaned-data'!C368="unknown","Unknown",PROPER(TRIM('Cleaned-data'!C368)))</f>
        <v>Unknown</v>
      </c>
      <c r="I368" t="str">
        <f t="shared" si="11"/>
        <v>United States</v>
      </c>
      <c r="J368" s="2">
        <v>44806</v>
      </c>
    </row>
    <row r="369" spans="1:10" x14ac:dyDescent="0.3">
      <c r="A369" t="s">
        <v>2160</v>
      </c>
      <c r="C369" t="s">
        <v>2963</v>
      </c>
      <c r="D369" t="s">
        <v>16</v>
      </c>
      <c r="E369" s="2">
        <v>44807</v>
      </c>
      <c r="G369" t="str">
        <f t="shared" si="10"/>
        <v>At the Dolphin Bay</v>
      </c>
      <c r="H369" t="str">
        <f>IF('Cleaned-data'!C369="unknown","Unknown",PROPER(TRIM('Cleaned-data'!C369)))</f>
        <v>Unknown</v>
      </c>
      <c r="I369" t="str">
        <f t="shared" si="11"/>
        <v>United States</v>
      </c>
      <c r="J369" s="2">
        <v>44807</v>
      </c>
    </row>
    <row r="370" spans="1:10" x14ac:dyDescent="0.3">
      <c r="A370" t="s">
        <v>2165</v>
      </c>
      <c r="C370" t="s">
        <v>2166</v>
      </c>
      <c r="D370" t="s">
        <v>16</v>
      </c>
      <c r="E370" s="2">
        <v>44808</v>
      </c>
      <c r="G370" t="str">
        <f t="shared" si="10"/>
        <v>K-on! the movie</v>
      </c>
      <c r="H370" t="str">
        <f>IF('Cleaned-data'!C370="unknown","Unknown",PROPER(TRIM('Cleaned-data'!C370)))</f>
        <v>Naoko Yamada</v>
      </c>
      <c r="I370" t="str">
        <f t="shared" si="11"/>
        <v>United States</v>
      </c>
      <c r="J370" s="2">
        <v>44808</v>
      </c>
    </row>
    <row r="371" spans="1:10" x14ac:dyDescent="0.3">
      <c r="A371" t="s">
        <v>2171</v>
      </c>
      <c r="C371" t="s">
        <v>2172</v>
      </c>
      <c r="D371" t="s">
        <v>16</v>
      </c>
      <c r="E371" s="2">
        <v>44809</v>
      </c>
      <c r="G371" t="str">
        <f t="shared" si="10"/>
        <v>The Garden of Words</v>
      </c>
      <c r="H371" t="str">
        <f>IF('Cleaned-data'!C371="unknown","Unknown",PROPER(TRIM('Cleaned-data'!C371)))</f>
        <v>Makoto Shinkai</v>
      </c>
      <c r="I371" t="str">
        <f t="shared" si="11"/>
        <v>United States</v>
      </c>
      <c r="J371" s="2">
        <v>44809</v>
      </c>
    </row>
    <row r="372" spans="1:10" x14ac:dyDescent="0.3">
      <c r="A372" t="s">
        <v>2177</v>
      </c>
      <c r="C372" t="s">
        <v>2963</v>
      </c>
      <c r="D372" t="s">
        <v>16</v>
      </c>
      <c r="E372" s="2">
        <v>44810</v>
      </c>
      <c r="G372" t="str">
        <f t="shared" si="10"/>
        <v>Put Your Head on My Shoulder</v>
      </c>
      <c r="H372" t="str">
        <f>IF('Cleaned-data'!C372="unknown","Unknown",PROPER(TRIM('Cleaned-data'!C372)))</f>
        <v>Unknown</v>
      </c>
      <c r="I372" t="str">
        <f t="shared" si="11"/>
        <v>United States</v>
      </c>
      <c r="J372" s="2">
        <v>44810</v>
      </c>
    </row>
    <row r="373" spans="1:10" x14ac:dyDescent="0.3">
      <c r="A373" t="s">
        <v>2183</v>
      </c>
      <c r="C373" t="s">
        <v>2963</v>
      </c>
      <c r="D373" t="s">
        <v>16</v>
      </c>
      <c r="E373" s="2">
        <v>44811</v>
      </c>
      <c r="G373" t="str">
        <f t="shared" si="10"/>
        <v>Shine On with Reese</v>
      </c>
      <c r="H373" t="str">
        <f>IF('Cleaned-data'!C373="unknown","Unknown",PROPER(TRIM('Cleaned-data'!C373)))</f>
        <v>Unknown</v>
      </c>
      <c r="I373" t="str">
        <f t="shared" si="11"/>
        <v>United States</v>
      </c>
      <c r="J373" s="2">
        <v>44811</v>
      </c>
    </row>
    <row r="374" spans="1:10" x14ac:dyDescent="0.3">
      <c r="A374" t="s">
        <v>2188</v>
      </c>
      <c r="C374" t="s">
        <v>2189</v>
      </c>
      <c r="D374" t="s">
        <v>16</v>
      </c>
      <c r="E374" s="2">
        <v>44812</v>
      </c>
      <c r="G374" t="str">
        <f t="shared" si="10"/>
        <v>Rattlesnake</v>
      </c>
      <c r="H374" t="str">
        <f>IF('Cleaned-data'!C374="unknown","Unknown",PROPER(TRIM('Cleaned-data'!C374)))</f>
        <v>Zak Hilditch</v>
      </c>
      <c r="I374" t="str">
        <f t="shared" si="11"/>
        <v>United States</v>
      </c>
      <c r="J374" s="2">
        <v>44812</v>
      </c>
    </row>
    <row r="375" spans="1:10" x14ac:dyDescent="0.3">
      <c r="A375" t="s">
        <v>2194</v>
      </c>
      <c r="C375" t="s">
        <v>2963</v>
      </c>
      <c r="D375" t="s">
        <v>16</v>
      </c>
      <c r="E375" s="2">
        <v>44813</v>
      </c>
      <c r="G375" t="str">
        <f t="shared" si="10"/>
        <v>Daybreak</v>
      </c>
      <c r="H375" t="str">
        <f>IF('Cleaned-data'!C375="unknown","Unknown",PROPER(TRIM('Cleaned-data'!C375)))</f>
        <v>Unknown</v>
      </c>
      <c r="I375" t="str">
        <f t="shared" si="11"/>
        <v>United States</v>
      </c>
      <c r="J375" s="2">
        <v>44813</v>
      </c>
    </row>
    <row r="376" spans="1:10" x14ac:dyDescent="0.3">
      <c r="A376" t="s">
        <v>2199</v>
      </c>
      <c r="C376" t="s">
        <v>2200</v>
      </c>
      <c r="D376" t="s">
        <v>16</v>
      </c>
      <c r="E376" s="2">
        <v>44814</v>
      </c>
      <c r="G376" t="str">
        <f t="shared" si="10"/>
        <v>Jenny Slate: Stage Fright</v>
      </c>
      <c r="H376" t="str">
        <f>IF('Cleaned-data'!C376="unknown","Unknown",PROPER(TRIM('Cleaned-data'!C376)))</f>
        <v>Gillian Robespierre</v>
      </c>
      <c r="I376" t="str">
        <f t="shared" si="11"/>
        <v>United States</v>
      </c>
      <c r="J376" s="2">
        <v>44814</v>
      </c>
    </row>
    <row r="377" spans="1:10" x14ac:dyDescent="0.3">
      <c r="A377" t="s">
        <v>2205</v>
      </c>
      <c r="C377" t="s">
        <v>2963</v>
      </c>
      <c r="D377" t="s">
        <v>16</v>
      </c>
      <c r="E377" s="2">
        <v>44815</v>
      </c>
      <c r="G377" t="str">
        <f t="shared" si="10"/>
        <v>Legend Quest: Masters of Myth</v>
      </c>
      <c r="H377" t="str">
        <f>IF('Cleaned-data'!C377="unknown","Unknown",PROPER(TRIM('Cleaned-data'!C377)))</f>
        <v>Unknown</v>
      </c>
      <c r="I377" t="str">
        <f t="shared" si="11"/>
        <v>United States</v>
      </c>
      <c r="J377" s="2">
        <v>44815</v>
      </c>
    </row>
    <row r="378" spans="1:10" x14ac:dyDescent="0.3">
      <c r="A378" t="s">
        <v>2210</v>
      </c>
      <c r="C378" t="s">
        <v>2963</v>
      </c>
      <c r="D378" t="s">
        <v>16</v>
      </c>
      <c r="E378" s="2">
        <v>44816</v>
      </c>
      <c r="G378" t="str">
        <f t="shared" si="10"/>
        <v>Creeped Out</v>
      </c>
      <c r="H378" t="str">
        <f>IF('Cleaned-data'!C378="unknown","Unknown",PROPER(TRIM('Cleaned-data'!C378)))</f>
        <v>Unknown</v>
      </c>
      <c r="I378" t="str">
        <f t="shared" si="11"/>
        <v>United States</v>
      </c>
      <c r="J378" s="2">
        <v>44816</v>
      </c>
    </row>
    <row r="379" spans="1:10" x14ac:dyDescent="0.3">
      <c r="A379" t="s">
        <v>2215</v>
      </c>
      <c r="C379" t="s">
        <v>2963</v>
      </c>
      <c r="D379" t="s">
        <v>16</v>
      </c>
      <c r="E379" s="2">
        <v>44817</v>
      </c>
      <c r="G379" t="str">
        <f t="shared" si="10"/>
        <v>Raising Dion</v>
      </c>
      <c r="H379" t="str">
        <f>IF('Cleaned-data'!C379="unknown","Unknown",PROPER(TRIM('Cleaned-data'!C379)))</f>
        <v>Unknown</v>
      </c>
      <c r="I379" t="str">
        <f t="shared" si="11"/>
        <v>United States</v>
      </c>
      <c r="J379" s="2">
        <v>44817</v>
      </c>
    </row>
    <row r="380" spans="1:10" x14ac:dyDescent="0.3">
      <c r="A380" t="s">
        <v>2220</v>
      </c>
      <c r="C380" t="s">
        <v>2963</v>
      </c>
      <c r="D380" t="s">
        <v>16</v>
      </c>
      <c r="E380" s="2">
        <v>44818</v>
      </c>
      <c r="G380" t="str">
        <f t="shared" si="10"/>
        <v>Seis Manos</v>
      </c>
      <c r="H380" t="str">
        <f>IF('Cleaned-data'!C380="unknown","Unknown",PROPER(TRIM('Cleaned-data'!C380)))</f>
        <v>Unknown</v>
      </c>
      <c r="I380" t="str">
        <f t="shared" si="11"/>
        <v>United States</v>
      </c>
      <c r="J380" s="2">
        <v>44818</v>
      </c>
    </row>
    <row r="381" spans="1:10" x14ac:dyDescent="0.3">
      <c r="A381" t="s">
        <v>2225</v>
      </c>
      <c r="C381" t="s">
        <v>2226</v>
      </c>
      <c r="D381" t="s">
        <v>16</v>
      </c>
      <c r="E381" s="2">
        <v>44819</v>
      </c>
      <c r="G381" t="str">
        <f t="shared" si="10"/>
        <v>In the Shadow of the Moon</v>
      </c>
      <c r="H381" t="str">
        <f>IF('Cleaned-data'!C381="unknown","Unknown",PROPER(TRIM('Cleaned-data'!C381)))</f>
        <v>Jim Mickle</v>
      </c>
      <c r="I381" t="str">
        <f t="shared" si="11"/>
        <v>United States</v>
      </c>
      <c r="J381" s="2">
        <v>44819</v>
      </c>
    </row>
    <row r="382" spans="1:10" x14ac:dyDescent="0.3">
      <c r="A382" t="s">
        <v>2231</v>
      </c>
      <c r="C382" t="s">
        <v>2963</v>
      </c>
      <c r="D382" t="s">
        <v>16</v>
      </c>
      <c r="E382" s="2">
        <v>44820</v>
      </c>
      <c r="G382" t="str">
        <f t="shared" si="10"/>
        <v>IZombie</v>
      </c>
      <c r="H382" t="str">
        <f>IF('Cleaned-data'!C382="unknown","Unknown",PROPER(TRIM('Cleaned-data'!C382)))</f>
        <v>Unknown</v>
      </c>
      <c r="I382" t="str">
        <f t="shared" si="11"/>
        <v>United States</v>
      </c>
      <c r="J382" s="2">
        <v>44820</v>
      </c>
    </row>
    <row r="383" spans="1:10" x14ac:dyDescent="0.3">
      <c r="A383" t="s">
        <v>2236</v>
      </c>
      <c r="C383" t="s">
        <v>2237</v>
      </c>
      <c r="D383" t="s">
        <v>16</v>
      </c>
      <c r="E383" s="2">
        <v>44821</v>
      </c>
      <c r="G383" t="str">
        <f t="shared" si="10"/>
        <v>Rocko's Modern Life: Static Cling</v>
      </c>
      <c r="H383" t="str">
        <f>IF('Cleaned-data'!C383="unknown","Unknown",PROPER(TRIM('Cleaned-data'!C383)))</f>
        <v>Joe Murray, Cosmo Segurson</v>
      </c>
      <c r="I383" t="str">
        <f t="shared" si="11"/>
        <v>United States</v>
      </c>
      <c r="J383" s="2">
        <v>44821</v>
      </c>
    </row>
    <row r="384" spans="1:10" x14ac:dyDescent="0.3">
      <c r="A384" t="s">
        <v>2243</v>
      </c>
      <c r="C384" t="s">
        <v>2963</v>
      </c>
      <c r="D384" t="s">
        <v>16</v>
      </c>
      <c r="E384" s="2">
        <v>44822</v>
      </c>
      <c r="G384" t="str">
        <f t="shared" si="10"/>
        <v>PILI Fantasy: War of Dragons</v>
      </c>
      <c r="H384" t="str">
        <f>IF('Cleaned-data'!C384="unknown","Unknown",PROPER(TRIM('Cleaned-data'!C384)))</f>
        <v>Unknown</v>
      </c>
      <c r="I384" t="str">
        <f t="shared" si="11"/>
        <v>United States</v>
      </c>
      <c r="J384" s="2">
        <v>44822</v>
      </c>
    </row>
    <row r="385" spans="1:10" x14ac:dyDescent="0.3">
      <c r="A385" t="s">
        <v>2248</v>
      </c>
      <c r="C385" t="s">
        <v>2963</v>
      </c>
      <c r="D385" t="s">
        <v>16</v>
      </c>
      <c r="E385" s="2">
        <v>44823</v>
      </c>
      <c r="G385" t="str">
        <f t="shared" si="10"/>
        <v>The Last Czars</v>
      </c>
      <c r="H385" t="str">
        <f>IF('Cleaned-data'!C385="unknown","Unknown",PROPER(TRIM('Cleaned-data'!C385)))</f>
        <v>Unknown</v>
      </c>
      <c r="I385" t="str">
        <f t="shared" si="11"/>
        <v>United States</v>
      </c>
      <c r="J385" s="2">
        <v>44823</v>
      </c>
    </row>
    <row r="386" spans="1:10" x14ac:dyDescent="0.3">
      <c r="A386" t="s">
        <v>2253</v>
      </c>
      <c r="C386" t="s">
        <v>2254</v>
      </c>
      <c r="D386" t="s">
        <v>16</v>
      </c>
      <c r="E386" s="2">
        <v>44824</v>
      </c>
      <c r="G386" t="str">
        <f t="shared" si="10"/>
        <v>Inhuman Kiss</v>
      </c>
      <c r="H386" t="str">
        <f>IF('Cleaned-data'!C386="unknown","Unknown",PROPER(TRIM('Cleaned-data'!C386)))</f>
        <v>Sittisiri Mongkolsiri</v>
      </c>
      <c r="I386" t="str">
        <f t="shared" si="11"/>
        <v>United States</v>
      </c>
      <c r="J386" s="2">
        <v>44824</v>
      </c>
    </row>
    <row r="387" spans="1:10" x14ac:dyDescent="0.3">
      <c r="A387" t="s">
        <v>2259</v>
      </c>
      <c r="C387" t="s">
        <v>2963</v>
      </c>
      <c r="D387" t="s">
        <v>16</v>
      </c>
      <c r="E387" s="2">
        <v>44825</v>
      </c>
      <c r="G387" t="str">
        <f t="shared" ref="G387:G450" si="12">TRIM(A387)</f>
        <v>Exhibit A</v>
      </c>
      <c r="H387" t="str">
        <f>IF('Cleaned-data'!C387="unknown","Unknown",PROPER(TRIM('Cleaned-data'!C387)))</f>
        <v>Unknown</v>
      </c>
      <c r="I387" t="str">
        <f t="shared" ref="I387:I450" si="13">TRIM(D387)</f>
        <v>United States</v>
      </c>
      <c r="J387" s="2">
        <v>44825</v>
      </c>
    </row>
    <row r="388" spans="1:10" x14ac:dyDescent="0.3">
      <c r="A388" t="s">
        <v>2263</v>
      </c>
      <c r="C388" t="s">
        <v>2241</v>
      </c>
      <c r="D388" t="s">
        <v>16</v>
      </c>
      <c r="E388" s="2">
        <v>44826</v>
      </c>
      <c r="G388" t="str">
        <f t="shared" si="12"/>
        <v>Kahaani</v>
      </c>
      <c r="H388" t="str">
        <f>IF('Cleaned-data'!C388="unknown","Unknown",PROPER(TRIM('Cleaned-data'!C388)))</f>
        <v>Sujoy Ghosh</v>
      </c>
      <c r="I388" t="str">
        <f t="shared" si="13"/>
        <v>United States</v>
      </c>
      <c r="J388" s="2">
        <v>44826</v>
      </c>
    </row>
    <row r="389" spans="1:10" x14ac:dyDescent="0.3">
      <c r="A389" t="s">
        <v>2268</v>
      </c>
      <c r="C389" t="s">
        <v>2963</v>
      </c>
      <c r="D389" t="s">
        <v>16</v>
      </c>
      <c r="E389" s="2">
        <v>44827</v>
      </c>
      <c r="G389" t="str">
        <f t="shared" si="12"/>
        <v>Go! Live Your Way</v>
      </c>
      <c r="H389" t="str">
        <f>IF('Cleaned-data'!C389="unknown","Unknown",PROPER(TRIM('Cleaned-data'!C389)))</f>
        <v>Unknown</v>
      </c>
      <c r="I389" t="str">
        <f t="shared" si="13"/>
        <v>United States</v>
      </c>
      <c r="J389" s="2">
        <v>44827</v>
      </c>
    </row>
    <row r="390" spans="1:10" x14ac:dyDescent="0.3">
      <c r="A390" t="s">
        <v>2273</v>
      </c>
      <c r="C390" t="s">
        <v>2274</v>
      </c>
      <c r="D390" t="s">
        <v>16</v>
      </c>
      <c r="E390" s="2">
        <v>44828</v>
      </c>
      <c r="G390" t="str">
        <f t="shared" si="12"/>
        <v>Stree</v>
      </c>
      <c r="H390" t="str">
        <f>IF('Cleaned-data'!C390="unknown","Unknown",PROPER(TRIM('Cleaned-data'!C390)))</f>
        <v>Amar Kaushik</v>
      </c>
      <c r="I390" t="str">
        <f t="shared" si="13"/>
        <v>United States</v>
      </c>
      <c r="J390" s="2">
        <v>44828</v>
      </c>
    </row>
    <row r="391" spans="1:10" x14ac:dyDescent="0.3">
      <c r="A391" t="s">
        <v>2279</v>
      </c>
      <c r="C391" t="s">
        <v>2280</v>
      </c>
      <c r="D391" t="s">
        <v>16</v>
      </c>
      <c r="E391" s="2">
        <v>44829</v>
      </c>
      <c r="G391" t="str">
        <f t="shared" si="12"/>
        <v>We Are Legends</v>
      </c>
      <c r="H391" t="str">
        <f>IF('Cleaned-data'!C391="unknown","Unknown",PROPER(TRIM('Cleaned-data'!C391)))</f>
        <v>Daniel Yee Heng Chan</v>
      </c>
      <c r="I391" t="str">
        <f t="shared" si="13"/>
        <v>United States</v>
      </c>
      <c r="J391" s="2">
        <v>44829</v>
      </c>
    </row>
    <row r="392" spans="1:10" x14ac:dyDescent="0.3">
      <c r="A392" t="s">
        <v>2285</v>
      </c>
      <c r="C392" t="s">
        <v>1085</v>
      </c>
      <c r="D392" t="s">
        <v>16</v>
      </c>
      <c r="E392" s="2">
        <v>44830</v>
      </c>
      <c r="G392" t="str">
        <f t="shared" si="12"/>
        <v>Rim of the World</v>
      </c>
      <c r="H392" t="str">
        <f>IF('Cleaned-data'!C392="unknown","Unknown",PROPER(TRIM('Cleaned-data'!C392)))</f>
        <v>Mcg</v>
      </c>
      <c r="I392" t="str">
        <f t="shared" si="13"/>
        <v>United States</v>
      </c>
      <c r="J392" s="2">
        <v>44830</v>
      </c>
    </row>
    <row r="393" spans="1:10" x14ac:dyDescent="0.3">
      <c r="A393" t="s">
        <v>2290</v>
      </c>
      <c r="C393" t="s">
        <v>2291</v>
      </c>
      <c r="D393" t="s">
        <v>16</v>
      </c>
      <c r="E393" s="2">
        <v>44831</v>
      </c>
      <c r="G393" t="str">
        <f t="shared" si="12"/>
        <v>The Perfection</v>
      </c>
      <c r="H393" t="str">
        <f>IF('Cleaned-data'!C393="unknown","Unknown",PROPER(TRIM('Cleaned-data'!C393)))</f>
        <v>Richard Shepard</v>
      </c>
      <c r="I393" t="str">
        <f t="shared" si="13"/>
        <v>United States</v>
      </c>
      <c r="J393" s="2">
        <v>44831</v>
      </c>
    </row>
    <row r="394" spans="1:10" x14ac:dyDescent="0.3">
      <c r="A394" t="s">
        <v>2296</v>
      </c>
      <c r="C394" t="s">
        <v>2297</v>
      </c>
      <c r="D394" t="s">
        <v>16</v>
      </c>
      <c r="E394" s="2">
        <v>44832</v>
      </c>
      <c r="G394" t="str">
        <f t="shared" si="12"/>
        <v>The Lonely Island Presents: The Unauthorized Bash Brothers Experience</v>
      </c>
      <c r="H394" t="str">
        <f>IF('Cleaned-data'!C394="unknown","Unknown",PROPER(TRIM('Cleaned-data'!C394)))</f>
        <v>Mike Diva, Akiva Schaffer</v>
      </c>
      <c r="I394" t="str">
        <f t="shared" si="13"/>
        <v>United States</v>
      </c>
      <c r="J394" s="2">
        <v>44832</v>
      </c>
    </row>
    <row r="395" spans="1:10" x14ac:dyDescent="0.3">
      <c r="A395" t="s">
        <v>2302</v>
      </c>
      <c r="C395" t="s">
        <v>2963</v>
      </c>
      <c r="D395" t="s">
        <v>16</v>
      </c>
      <c r="E395" s="2">
        <v>44833</v>
      </c>
      <c r="G395" t="str">
        <f t="shared" si="12"/>
        <v>Chambers</v>
      </c>
      <c r="H395" t="str">
        <f>IF('Cleaned-data'!C395="unknown","Unknown",PROPER(TRIM('Cleaned-data'!C395)))</f>
        <v>Unknown</v>
      </c>
      <c r="I395" t="str">
        <f t="shared" si="13"/>
        <v>United States</v>
      </c>
      <c r="J395" s="2">
        <v>44833</v>
      </c>
    </row>
    <row r="396" spans="1:10" x14ac:dyDescent="0.3">
      <c r="A396" t="s">
        <v>2307</v>
      </c>
      <c r="C396" t="s">
        <v>2963</v>
      </c>
      <c r="D396" t="s">
        <v>16</v>
      </c>
      <c r="E396" s="2">
        <v>44834</v>
      </c>
      <c r="G396" t="str">
        <f t="shared" si="12"/>
        <v>Crazy Ex-Girlfriend</v>
      </c>
      <c r="H396" t="str">
        <f>IF('Cleaned-data'!C396="unknown","Unknown",PROPER(TRIM('Cleaned-data'!C396)))</f>
        <v>Unknown</v>
      </c>
      <c r="I396" t="str">
        <f t="shared" si="13"/>
        <v>United States</v>
      </c>
      <c r="J396" s="2">
        <v>44834</v>
      </c>
    </row>
    <row r="397" spans="1:10" x14ac:dyDescent="0.3">
      <c r="A397" t="s">
        <v>2312</v>
      </c>
      <c r="C397" t="s">
        <v>2963</v>
      </c>
      <c r="D397" t="s">
        <v>16</v>
      </c>
      <c r="E397" s="2">
        <v>44835</v>
      </c>
      <c r="G397" t="str">
        <f t="shared" si="12"/>
        <v>You vs. Wild</v>
      </c>
      <c r="H397" t="str">
        <f>IF('Cleaned-data'!C397="unknown","Unknown",PROPER(TRIM('Cleaned-data'!C397)))</f>
        <v>Unknown</v>
      </c>
      <c r="I397" t="str">
        <f t="shared" si="13"/>
        <v>United States</v>
      </c>
      <c r="J397" s="2">
        <v>44835</v>
      </c>
    </row>
    <row r="398" spans="1:10" x14ac:dyDescent="0.3">
      <c r="A398" t="s">
        <v>2316</v>
      </c>
      <c r="C398" t="s">
        <v>2317</v>
      </c>
      <c r="D398" t="s">
        <v>16</v>
      </c>
      <c r="E398" s="2">
        <v>44836</v>
      </c>
      <c r="G398" t="str">
        <f t="shared" si="12"/>
        <v>Love O2O</v>
      </c>
      <c r="H398" t="str">
        <f>IF('Cleaned-data'!C398="unknown","Unknown",PROPER(TRIM('Cleaned-data'!C398)))</f>
        <v>Tianyu Zhao</v>
      </c>
      <c r="I398" t="str">
        <f t="shared" si="13"/>
        <v>United States</v>
      </c>
      <c r="J398" s="2">
        <v>44836</v>
      </c>
    </row>
    <row r="399" spans="1:10" x14ac:dyDescent="0.3">
      <c r="A399" t="s">
        <v>2322</v>
      </c>
      <c r="C399" t="s">
        <v>2963</v>
      </c>
      <c r="D399" t="s">
        <v>16</v>
      </c>
      <c r="E399" s="2">
        <v>44837</v>
      </c>
      <c r="G399" t="str">
        <f t="shared" si="12"/>
        <v>Santa Clarita Diet</v>
      </c>
      <c r="H399" t="str">
        <f>IF('Cleaned-data'!C399="unknown","Unknown",PROPER(TRIM('Cleaned-data'!C399)))</f>
        <v>Unknown</v>
      </c>
      <c r="I399" t="str">
        <f t="shared" si="13"/>
        <v>United States</v>
      </c>
      <c r="J399" s="2">
        <v>44837</v>
      </c>
    </row>
    <row r="400" spans="1:10" x14ac:dyDescent="0.3">
      <c r="A400" t="s">
        <v>2327</v>
      </c>
      <c r="C400" t="s">
        <v>2963</v>
      </c>
      <c r="D400" t="s">
        <v>16</v>
      </c>
      <c r="E400" s="2">
        <v>44838</v>
      </c>
      <c r="G400" t="str">
        <f t="shared" si="12"/>
        <v>Into the Badlands</v>
      </c>
      <c r="H400" t="str">
        <f>IF('Cleaned-data'!C400="unknown","Unknown",PROPER(TRIM('Cleaned-data'!C400)))</f>
        <v>Unknown</v>
      </c>
      <c r="I400" t="str">
        <f t="shared" si="13"/>
        <v>United States</v>
      </c>
      <c r="J400" s="2">
        <v>44838</v>
      </c>
    </row>
    <row r="401" spans="1:10" x14ac:dyDescent="0.3">
      <c r="A401" t="s">
        <v>2332</v>
      </c>
      <c r="C401" t="s">
        <v>2963</v>
      </c>
      <c r="D401" t="s">
        <v>16</v>
      </c>
      <c r="E401" s="2">
        <v>44839</v>
      </c>
      <c r="G401" t="str">
        <f t="shared" si="12"/>
        <v>The Kirlian Frequency</v>
      </c>
      <c r="H401" t="str">
        <f>IF('Cleaned-data'!C401="unknown","Unknown",PROPER(TRIM('Cleaned-data'!C401)))</f>
        <v>Unknown</v>
      </c>
      <c r="I401" t="str">
        <f t="shared" si="13"/>
        <v>United States</v>
      </c>
      <c r="J401" s="2">
        <v>44839</v>
      </c>
    </row>
    <row r="402" spans="1:10" x14ac:dyDescent="0.3">
      <c r="A402" t="s">
        <v>2337</v>
      </c>
      <c r="C402" t="s">
        <v>2963</v>
      </c>
      <c r="D402" t="s">
        <v>16</v>
      </c>
      <c r="E402" s="2">
        <v>44840</v>
      </c>
      <c r="G402" t="str">
        <f t="shared" si="12"/>
        <v>Marvel's The Punisher</v>
      </c>
      <c r="H402" t="str">
        <f>IF('Cleaned-data'!C402="unknown","Unknown",PROPER(TRIM('Cleaned-data'!C402)))</f>
        <v>Unknown</v>
      </c>
      <c r="I402" t="str">
        <f t="shared" si="13"/>
        <v>United States</v>
      </c>
      <c r="J402" s="2">
        <v>44840</v>
      </c>
    </row>
    <row r="403" spans="1:10" x14ac:dyDescent="0.3">
      <c r="A403" t="s">
        <v>2342</v>
      </c>
      <c r="C403" t="s">
        <v>2343</v>
      </c>
      <c r="D403" t="s">
        <v>16</v>
      </c>
      <c r="E403" s="2">
        <v>44841</v>
      </c>
      <c r="G403" t="str">
        <f t="shared" si="12"/>
        <v>Tim Minchin And The Heritage Orchestra Live</v>
      </c>
      <c r="H403" t="str">
        <f>IF('Cleaned-data'!C403="unknown","Unknown",PROPER(TRIM('Cleaned-data'!C403)))</f>
        <v>Matt Askem</v>
      </c>
      <c r="I403" t="str">
        <f t="shared" si="13"/>
        <v>United States</v>
      </c>
      <c r="J403" s="2">
        <v>44841</v>
      </c>
    </row>
    <row r="404" spans="1:10" x14ac:dyDescent="0.3">
      <c r="A404" t="s">
        <v>2348</v>
      </c>
      <c r="C404" t="s">
        <v>2963</v>
      </c>
      <c r="D404" t="s">
        <v>16</v>
      </c>
      <c r="E404" s="2">
        <v>44842</v>
      </c>
      <c r="G404" t="str">
        <f t="shared" si="12"/>
        <v>People Just Do Nothing</v>
      </c>
      <c r="H404" t="str">
        <f>IF('Cleaned-data'!C404="unknown","Unknown",PROPER(TRIM('Cleaned-data'!C404)))</f>
        <v>Unknown</v>
      </c>
      <c r="I404" t="str">
        <f t="shared" si="13"/>
        <v>United States</v>
      </c>
      <c r="J404" s="2">
        <v>44842</v>
      </c>
    </row>
    <row r="405" spans="1:10" x14ac:dyDescent="0.3">
      <c r="A405" t="s">
        <v>2353</v>
      </c>
      <c r="C405" t="s">
        <v>2963</v>
      </c>
      <c r="D405" t="s">
        <v>16</v>
      </c>
      <c r="E405" s="2">
        <v>44843</v>
      </c>
      <c r="G405" t="str">
        <f t="shared" si="12"/>
        <v>Neo Yokio</v>
      </c>
      <c r="H405" t="str">
        <f>IF('Cleaned-data'!C405="unknown","Unknown",PROPER(TRIM('Cleaned-data'!C405)))</f>
        <v>Unknown</v>
      </c>
      <c r="I405" t="str">
        <f t="shared" si="13"/>
        <v>United States</v>
      </c>
      <c r="J405" s="2">
        <v>44843</v>
      </c>
    </row>
    <row r="406" spans="1:10" x14ac:dyDescent="0.3">
      <c r="A406" t="s">
        <v>2358</v>
      </c>
      <c r="C406" t="s">
        <v>2963</v>
      </c>
      <c r="D406" t="s">
        <v>16</v>
      </c>
      <c r="E406" s="2">
        <v>44844</v>
      </c>
      <c r="G406" t="str">
        <f t="shared" si="12"/>
        <v>Mystery Science Theater 3000: The Return</v>
      </c>
      <c r="H406" t="str">
        <f>IF('Cleaned-data'!C406="unknown","Unknown",PROPER(TRIM('Cleaned-data'!C406)))</f>
        <v>Unknown</v>
      </c>
      <c r="I406" t="str">
        <f t="shared" si="13"/>
        <v>United States</v>
      </c>
      <c r="J406" s="2">
        <v>44844</v>
      </c>
    </row>
    <row r="407" spans="1:10" x14ac:dyDescent="0.3">
      <c r="A407" t="s">
        <v>2363</v>
      </c>
      <c r="C407" t="s">
        <v>2963</v>
      </c>
      <c r="D407" t="s">
        <v>16</v>
      </c>
      <c r="E407" s="2">
        <v>44845</v>
      </c>
      <c r="G407" t="str">
        <f t="shared" si="12"/>
        <v>Silvana Sin Lana</v>
      </c>
      <c r="H407" t="str">
        <f>IF('Cleaned-data'!C407="unknown","Unknown",PROPER(TRIM('Cleaned-data'!C407)))</f>
        <v>Unknown</v>
      </c>
      <c r="I407" t="str">
        <f t="shared" si="13"/>
        <v>United States</v>
      </c>
      <c r="J407" s="2">
        <v>44845</v>
      </c>
    </row>
    <row r="408" spans="1:10" x14ac:dyDescent="0.3">
      <c r="A408" t="s">
        <v>2368</v>
      </c>
      <c r="C408" t="s">
        <v>2963</v>
      </c>
      <c r="D408" t="s">
        <v>16</v>
      </c>
      <c r="E408" s="2">
        <v>44846</v>
      </c>
      <c r="G408" t="str">
        <f t="shared" si="12"/>
        <v>Transfers</v>
      </c>
      <c r="H408" t="str">
        <f>IF('Cleaned-data'!C408="unknown","Unknown",PROPER(TRIM('Cleaned-data'!C408)))</f>
        <v>Unknown</v>
      </c>
      <c r="I408" t="str">
        <f t="shared" si="13"/>
        <v>United States</v>
      </c>
      <c r="J408" s="2">
        <v>44846</v>
      </c>
    </row>
    <row r="409" spans="1:10" x14ac:dyDescent="0.3">
      <c r="A409" t="s">
        <v>2373</v>
      </c>
      <c r="C409" t="s">
        <v>2963</v>
      </c>
      <c r="D409" t="s">
        <v>16</v>
      </c>
      <c r="E409" s="2">
        <v>44847</v>
      </c>
      <c r="G409" t="str">
        <f t="shared" si="12"/>
        <v>Wanderlust</v>
      </c>
      <c r="H409" t="str">
        <f>IF('Cleaned-data'!C409="unknown","Unknown",PROPER(TRIM('Cleaned-data'!C409)))</f>
        <v>Unknown</v>
      </c>
      <c r="I409" t="str">
        <f t="shared" si="13"/>
        <v>United States</v>
      </c>
      <c r="J409" s="2">
        <v>44847</v>
      </c>
    </row>
    <row r="410" spans="1:10" x14ac:dyDescent="0.3">
      <c r="A410" t="s">
        <v>2378</v>
      </c>
      <c r="C410" t="s">
        <v>2963</v>
      </c>
      <c r="D410" t="s">
        <v>16</v>
      </c>
      <c r="E410" s="2">
        <v>44848</v>
      </c>
      <c r="G410" t="str">
        <f t="shared" si="12"/>
        <v>Edgar Rice Burroughs' Tarzan and Jane</v>
      </c>
      <c r="H410" t="str">
        <f>IF('Cleaned-data'!C410="unknown","Unknown",PROPER(TRIM('Cleaned-data'!C410)))</f>
        <v>Unknown</v>
      </c>
      <c r="I410" t="str">
        <f t="shared" si="13"/>
        <v>United States</v>
      </c>
      <c r="J410" s="2">
        <v>44848</v>
      </c>
    </row>
    <row r="411" spans="1:10" x14ac:dyDescent="0.3">
      <c r="A411" t="s">
        <v>2383</v>
      </c>
      <c r="C411" t="s">
        <v>2384</v>
      </c>
      <c r="D411" t="s">
        <v>16</v>
      </c>
      <c r="E411" s="2">
        <v>44849</v>
      </c>
      <c r="G411" t="str">
        <f t="shared" si="12"/>
        <v>Errementari: The Blacksmith and the Devil</v>
      </c>
      <c r="H411" t="str">
        <f>IF('Cleaned-data'!C411="unknown","Unknown",PROPER(TRIM('Cleaned-data'!C411)))</f>
        <v>Paul Urkijo Alijo</v>
      </c>
      <c r="I411" t="str">
        <f t="shared" si="13"/>
        <v>United States</v>
      </c>
      <c r="J411" s="2">
        <v>44849</v>
      </c>
    </row>
    <row r="412" spans="1:10" x14ac:dyDescent="0.3">
      <c r="A412" t="s">
        <v>2389</v>
      </c>
      <c r="C412" t="s">
        <v>2963</v>
      </c>
      <c r="D412" t="s">
        <v>16</v>
      </c>
      <c r="E412" s="2">
        <v>44850</v>
      </c>
      <c r="G412" t="str">
        <f t="shared" si="12"/>
        <v>The Curious Creations of Christine McConnell</v>
      </c>
      <c r="H412" t="str">
        <f>IF('Cleaned-data'!C412="unknown","Unknown",PROPER(TRIM('Cleaned-data'!C412)))</f>
        <v>Unknown</v>
      </c>
      <c r="I412" t="str">
        <f t="shared" si="13"/>
        <v>United States</v>
      </c>
      <c r="J412" s="2">
        <v>44850</v>
      </c>
    </row>
    <row r="413" spans="1:10" x14ac:dyDescent="0.3">
      <c r="A413" t="s">
        <v>2394</v>
      </c>
      <c r="C413" t="s">
        <v>2395</v>
      </c>
      <c r="D413" t="s">
        <v>16</v>
      </c>
      <c r="E413" s="2">
        <v>44851</v>
      </c>
      <c r="G413" t="str">
        <f t="shared" si="12"/>
        <v>Tales From the Hood 2</v>
      </c>
      <c r="H413" t="str">
        <f>IF('Cleaned-data'!C413="unknown","Unknown",PROPER(TRIM('Cleaned-data'!C413)))</f>
        <v>Rusty Cundieff, Darin Scott</v>
      </c>
      <c r="I413" t="str">
        <f t="shared" si="13"/>
        <v>United States</v>
      </c>
      <c r="J413" s="2">
        <v>44851</v>
      </c>
    </row>
    <row r="414" spans="1:10" x14ac:dyDescent="0.3">
      <c r="A414" t="s">
        <v>2400</v>
      </c>
      <c r="C414" t="s">
        <v>2963</v>
      </c>
      <c r="D414" t="s">
        <v>16</v>
      </c>
      <c r="E414" s="2">
        <v>44852</v>
      </c>
      <c r="G414" t="str">
        <f t="shared" si="12"/>
        <v>Monty Python Best Bits (mostly)</v>
      </c>
      <c r="H414" t="str">
        <f>IF('Cleaned-data'!C414="unknown","Unknown",PROPER(TRIM('Cleaned-data'!C414)))</f>
        <v>Unknown</v>
      </c>
      <c r="I414" t="str">
        <f t="shared" si="13"/>
        <v>United States</v>
      </c>
      <c r="J414" s="2">
        <v>44852</v>
      </c>
    </row>
    <row r="415" spans="1:10" x14ac:dyDescent="0.3">
      <c r="A415" t="s">
        <v>2407</v>
      </c>
      <c r="C415" t="s">
        <v>2404</v>
      </c>
      <c r="D415" t="s">
        <v>16</v>
      </c>
      <c r="E415" s="2">
        <v>44853</v>
      </c>
      <c r="G415" t="str">
        <f t="shared" si="12"/>
        <v>Monty Python: Before the Flying Circus</v>
      </c>
      <c r="H415" t="str">
        <f>IF('Cleaned-data'!C415="unknown","Unknown",PROPER(TRIM('Cleaned-data'!C415)))</f>
        <v>Will Yapp</v>
      </c>
      <c r="I415" t="str">
        <f t="shared" si="13"/>
        <v>United States</v>
      </c>
      <c r="J415" s="2">
        <v>44853</v>
      </c>
    </row>
    <row r="416" spans="1:10" x14ac:dyDescent="0.3">
      <c r="A416" t="s">
        <v>2411</v>
      </c>
      <c r="C416" t="s">
        <v>2963</v>
      </c>
      <c r="D416" t="s">
        <v>16</v>
      </c>
      <c r="E416" s="2">
        <v>44854</v>
      </c>
      <c r="G416" t="str">
        <f t="shared" si="12"/>
        <v>Battlefish</v>
      </c>
      <c r="H416" t="str">
        <f>IF('Cleaned-data'!C416="unknown","Unknown",PROPER(TRIM('Cleaned-data'!C416)))</f>
        <v>Unknown</v>
      </c>
      <c r="I416" t="str">
        <f t="shared" si="13"/>
        <v>United States</v>
      </c>
      <c r="J416" s="2">
        <v>44854</v>
      </c>
    </row>
    <row r="417" spans="1:10" x14ac:dyDescent="0.3">
      <c r="A417" t="s">
        <v>2415</v>
      </c>
      <c r="C417" t="s">
        <v>2963</v>
      </c>
      <c r="D417" t="s">
        <v>16</v>
      </c>
      <c r="E417" s="2">
        <v>44855</v>
      </c>
      <c r="G417" t="str">
        <f t="shared" si="12"/>
        <v>Maniac</v>
      </c>
      <c r="H417" t="str">
        <f>IF('Cleaned-data'!C417="unknown","Unknown",PROPER(TRIM('Cleaned-data'!C417)))</f>
        <v>Unknown</v>
      </c>
      <c r="I417" t="str">
        <f t="shared" si="13"/>
        <v>United States</v>
      </c>
      <c r="J417" s="2">
        <v>44855</v>
      </c>
    </row>
    <row r="418" spans="1:10" x14ac:dyDescent="0.3">
      <c r="A418" t="s">
        <v>2420</v>
      </c>
      <c r="C418" t="s">
        <v>2963</v>
      </c>
      <c r="D418" t="s">
        <v>16</v>
      </c>
      <c r="E418" s="2">
        <v>44856</v>
      </c>
      <c r="G418" t="str">
        <f t="shared" si="12"/>
        <v>American Vandal</v>
      </c>
      <c r="H418" t="str">
        <f>IF('Cleaned-data'!C418="unknown","Unknown",PROPER(TRIM('Cleaned-data'!C418)))</f>
        <v>Unknown</v>
      </c>
      <c r="I418" t="str">
        <f t="shared" si="13"/>
        <v>United States</v>
      </c>
      <c r="J418" s="2">
        <v>44856</v>
      </c>
    </row>
    <row r="419" spans="1:10" x14ac:dyDescent="0.3">
      <c r="A419" t="s">
        <v>2425</v>
      </c>
      <c r="C419" t="s">
        <v>2963</v>
      </c>
      <c r="D419" t="s">
        <v>16</v>
      </c>
      <c r="E419" s="2">
        <v>44857</v>
      </c>
      <c r="G419" t="str">
        <f t="shared" si="12"/>
        <v>If I were an Animal</v>
      </c>
      <c r="H419" t="str">
        <f>IF('Cleaned-data'!C419="unknown","Unknown",PROPER(TRIM('Cleaned-data'!C419)))</f>
        <v>Unknown</v>
      </c>
      <c r="I419" t="str">
        <f t="shared" si="13"/>
        <v>United States</v>
      </c>
      <c r="J419" s="2">
        <v>44857</v>
      </c>
    </row>
    <row r="420" spans="1:10" x14ac:dyDescent="0.3">
      <c r="A420" t="s">
        <v>2430</v>
      </c>
      <c r="C420" t="s">
        <v>2963</v>
      </c>
      <c r="D420" t="s">
        <v>16</v>
      </c>
      <c r="E420" s="2">
        <v>44858</v>
      </c>
      <c r="G420" t="str">
        <f t="shared" si="12"/>
        <v>Ultimate Beastmaster MÃ©xico</v>
      </c>
      <c r="H420" t="str">
        <f>IF('Cleaned-data'!C420="unknown","Unknown",PROPER(TRIM('Cleaned-data'!C420)))</f>
        <v>Unknown</v>
      </c>
      <c r="I420" t="str">
        <f t="shared" si="13"/>
        <v>United States</v>
      </c>
      <c r="J420" s="2">
        <v>44858</v>
      </c>
    </row>
    <row r="421" spans="1:10" x14ac:dyDescent="0.3">
      <c r="A421" t="s">
        <v>2435</v>
      </c>
      <c r="C421" t="s">
        <v>2436</v>
      </c>
      <c r="D421" t="s">
        <v>16</v>
      </c>
      <c r="E421" s="2">
        <v>44859</v>
      </c>
      <c r="G421" t="str">
        <f t="shared" si="12"/>
        <v>Expelled from Paradise</v>
      </c>
      <c r="H421" t="str">
        <f>IF('Cleaned-data'!C421="unknown","Unknown",PROPER(TRIM('Cleaned-data'!C421)))</f>
        <v>Seiji Mizushima</v>
      </c>
      <c r="I421" t="str">
        <f t="shared" si="13"/>
        <v>United States</v>
      </c>
      <c r="J421" s="2">
        <v>44859</v>
      </c>
    </row>
    <row r="422" spans="1:10" x14ac:dyDescent="0.3">
      <c r="A422" t="s">
        <v>2441</v>
      </c>
      <c r="C422" t="s">
        <v>2963</v>
      </c>
      <c r="D422" t="s">
        <v>16</v>
      </c>
      <c r="E422" s="2">
        <v>44860</v>
      </c>
      <c r="G422" t="str">
        <f t="shared" si="12"/>
        <v>Inspector Gadget</v>
      </c>
      <c r="H422" t="str">
        <f>IF('Cleaned-data'!C422="unknown","Unknown",PROPER(TRIM('Cleaned-data'!C422)))</f>
        <v>Unknown</v>
      </c>
      <c r="I422" t="str">
        <f t="shared" si="13"/>
        <v>United States</v>
      </c>
      <c r="J422" s="2">
        <v>44860</v>
      </c>
    </row>
    <row r="423" spans="1:10" x14ac:dyDescent="0.3">
      <c r="A423" t="s">
        <v>2446</v>
      </c>
      <c r="C423" t="s">
        <v>2447</v>
      </c>
      <c r="D423" t="s">
        <v>16</v>
      </c>
      <c r="E423" s="2">
        <v>44861</v>
      </c>
      <c r="G423" t="str">
        <f t="shared" si="12"/>
        <v>Come Sunday</v>
      </c>
      <c r="H423" t="str">
        <f>IF('Cleaned-data'!C423="unknown","Unknown",PROPER(TRIM('Cleaned-data'!C423)))</f>
        <v>Joshua Marston</v>
      </c>
      <c r="I423" t="str">
        <f t="shared" si="13"/>
        <v>United States</v>
      </c>
      <c r="J423" s="2">
        <v>44861</v>
      </c>
    </row>
    <row r="424" spans="1:10" x14ac:dyDescent="0.3">
      <c r="A424" t="s">
        <v>2452</v>
      </c>
      <c r="C424" t="s">
        <v>2453</v>
      </c>
      <c r="D424" t="s">
        <v>16</v>
      </c>
      <c r="E424" s="2">
        <v>44862</v>
      </c>
      <c r="G424" t="str">
        <f t="shared" si="12"/>
        <v>Ram Dass, Going Home</v>
      </c>
      <c r="H424" t="str">
        <f>IF('Cleaned-data'!C424="unknown","Unknown",PROPER(TRIM('Cleaned-data'!C424)))</f>
        <v>Derek Peck</v>
      </c>
      <c r="I424" t="str">
        <f t="shared" si="13"/>
        <v>United States</v>
      </c>
      <c r="J424" s="2">
        <v>44862</v>
      </c>
    </row>
    <row r="425" spans="1:10" x14ac:dyDescent="0.3">
      <c r="A425" t="s">
        <v>2458</v>
      </c>
      <c r="C425" t="s">
        <v>2459</v>
      </c>
      <c r="D425" t="s">
        <v>16</v>
      </c>
      <c r="E425" s="2">
        <v>44863</v>
      </c>
      <c r="G425" t="str">
        <f t="shared" si="12"/>
        <v>James Acaster: Repertoire</v>
      </c>
      <c r="H425" t="str">
        <f>IF('Cleaned-data'!C425="unknown","Unknown",PROPER(TRIM('Cleaned-data'!C425)))</f>
        <v>Dan Lucchesi</v>
      </c>
      <c r="I425" t="str">
        <f t="shared" si="13"/>
        <v>United States</v>
      </c>
      <c r="J425" s="2">
        <v>44863</v>
      </c>
    </row>
    <row r="426" spans="1:10" x14ac:dyDescent="0.3">
      <c r="A426" t="s">
        <v>2464</v>
      </c>
      <c r="C426" t="s">
        <v>2465</v>
      </c>
      <c r="D426" t="s">
        <v>16</v>
      </c>
      <c r="E426" s="2">
        <v>44864</v>
      </c>
      <c r="G426" t="str">
        <f t="shared" si="12"/>
        <v>Holy Camp!</v>
      </c>
      <c r="H426" t="str">
        <f>IF('Cleaned-data'!C426="unknown","Unknown",PROPER(TRIM('Cleaned-data'!C426)))</f>
        <v>Javier Ambrossi, Javier Calvo</v>
      </c>
      <c r="I426" t="str">
        <f t="shared" si="13"/>
        <v>United States</v>
      </c>
      <c r="J426" s="2">
        <v>44864</v>
      </c>
    </row>
    <row r="427" spans="1:10" x14ac:dyDescent="0.3">
      <c r="A427" t="s">
        <v>2470</v>
      </c>
      <c r="C427" t="s">
        <v>2963</v>
      </c>
      <c r="D427" t="s">
        <v>16</v>
      </c>
      <c r="E427" s="2">
        <v>44865</v>
      </c>
      <c r="G427" t="str">
        <f t="shared" si="12"/>
        <v>Episodes</v>
      </c>
      <c r="H427" t="str">
        <f>IF('Cleaned-data'!C427="unknown","Unknown",PROPER(TRIM('Cleaned-data'!C427)))</f>
        <v>Unknown</v>
      </c>
      <c r="I427" t="str">
        <f t="shared" si="13"/>
        <v>United States</v>
      </c>
      <c r="J427" s="2">
        <v>44865</v>
      </c>
    </row>
    <row r="428" spans="1:10" x14ac:dyDescent="0.3">
      <c r="A428" t="s">
        <v>2475</v>
      </c>
      <c r="C428" t="s">
        <v>2476</v>
      </c>
      <c r="D428" t="s">
        <v>16</v>
      </c>
      <c r="E428" s="2">
        <v>44866</v>
      </c>
      <c r="G428" t="str">
        <f t="shared" si="12"/>
        <v>SPF-18</v>
      </c>
      <c r="H428" t="str">
        <f>IF('Cleaned-data'!C428="unknown","Unknown",PROPER(TRIM('Cleaned-data'!C428)))</f>
        <v>Alex Israel</v>
      </c>
      <c r="I428" t="str">
        <f t="shared" si="13"/>
        <v>United States</v>
      </c>
      <c r="J428" s="2">
        <v>44866</v>
      </c>
    </row>
    <row r="429" spans="1:10" x14ac:dyDescent="0.3">
      <c r="A429" t="s">
        <v>2481</v>
      </c>
      <c r="C429" t="s">
        <v>2963</v>
      </c>
      <c r="D429" t="s">
        <v>16</v>
      </c>
      <c r="E429" s="2">
        <v>44867</v>
      </c>
      <c r="G429" t="str">
        <f t="shared" si="12"/>
        <v>Beyond Stranger Things</v>
      </c>
      <c r="H429" t="str">
        <f>IF('Cleaned-data'!C429="unknown","Unknown",PROPER(TRIM('Cleaned-data'!C429)))</f>
        <v>Unknown</v>
      </c>
      <c r="I429" t="str">
        <f t="shared" si="13"/>
        <v>United States</v>
      </c>
      <c r="J429" s="2">
        <v>44867</v>
      </c>
    </row>
    <row r="430" spans="1:10" x14ac:dyDescent="0.3">
      <c r="A430" t="s">
        <v>2486</v>
      </c>
      <c r="C430" t="s">
        <v>2963</v>
      </c>
      <c r="D430" t="s">
        <v>16</v>
      </c>
      <c r="E430" s="2">
        <v>44868</v>
      </c>
      <c r="G430" t="str">
        <f t="shared" si="12"/>
        <v>Dark Matter</v>
      </c>
      <c r="H430" t="str">
        <f>IF('Cleaned-data'!C430="unknown","Unknown",PROPER(TRIM('Cleaned-data'!C430)))</f>
        <v>Unknown</v>
      </c>
      <c r="I430" t="str">
        <f t="shared" si="13"/>
        <v>United States</v>
      </c>
      <c r="J430" s="2">
        <v>44868</v>
      </c>
    </row>
    <row r="431" spans="1:10" x14ac:dyDescent="0.3">
      <c r="A431" t="s">
        <v>2491</v>
      </c>
      <c r="C431" t="s">
        <v>2492</v>
      </c>
      <c r="D431" t="s">
        <v>16</v>
      </c>
      <c r="E431" s="2">
        <v>44869</v>
      </c>
      <c r="G431" t="str">
        <f t="shared" si="12"/>
        <v>Opening Night</v>
      </c>
      <c r="H431" t="str">
        <f>IF('Cleaned-data'!C431="unknown","Unknown",PROPER(TRIM('Cleaned-data'!C431)))</f>
        <v>Isaac Rentz</v>
      </c>
      <c r="I431" t="str">
        <f t="shared" si="13"/>
        <v>United States</v>
      </c>
      <c r="J431" s="2">
        <v>44869</v>
      </c>
    </row>
    <row r="432" spans="1:10" x14ac:dyDescent="0.3">
      <c r="A432" t="s">
        <v>2497</v>
      </c>
      <c r="C432" t="s">
        <v>2498</v>
      </c>
      <c r="D432" t="s">
        <v>16</v>
      </c>
      <c r="E432" s="2">
        <v>44870</v>
      </c>
      <c r="G432" t="str">
        <f t="shared" si="12"/>
        <v>Mindhorn</v>
      </c>
      <c r="H432" t="str">
        <f>IF('Cleaned-data'!C432="unknown","Unknown",PROPER(TRIM('Cleaned-data'!C432)))</f>
        <v>Sean Foley</v>
      </c>
      <c r="I432" t="str">
        <f t="shared" si="13"/>
        <v>United States</v>
      </c>
      <c r="J432" s="2">
        <v>44870</v>
      </c>
    </row>
    <row r="433" spans="1:10" x14ac:dyDescent="0.3">
      <c r="A433" t="s">
        <v>2503</v>
      </c>
      <c r="C433" t="s">
        <v>2504</v>
      </c>
      <c r="D433" t="s">
        <v>16</v>
      </c>
      <c r="E433" s="2">
        <v>44871</v>
      </c>
      <c r="G433" t="str">
        <f t="shared" si="12"/>
        <v>Notes on Blindness</v>
      </c>
      <c r="H433" t="str">
        <f>IF('Cleaned-data'!C433="unknown","Unknown",PROPER(TRIM('Cleaned-data'!C433)))</f>
        <v>Peter Middleton, James Spinney</v>
      </c>
      <c r="I433" t="str">
        <f t="shared" si="13"/>
        <v>United States</v>
      </c>
      <c r="J433" s="2">
        <v>44871</v>
      </c>
    </row>
    <row r="434" spans="1:10" x14ac:dyDescent="0.3">
      <c r="A434" t="s">
        <v>2510</v>
      </c>
      <c r="C434" t="s">
        <v>2963</v>
      </c>
      <c r="D434" t="s">
        <v>16</v>
      </c>
      <c r="E434" s="2">
        <v>44872</v>
      </c>
      <c r="G434" t="str">
        <f t="shared" si="12"/>
        <v>Dead Set</v>
      </c>
      <c r="H434" t="str">
        <f>IF('Cleaned-data'!C434="unknown","Unknown",PROPER(TRIM('Cleaned-data'!C434)))</f>
        <v>Unknown</v>
      </c>
      <c r="I434" t="str">
        <f t="shared" si="13"/>
        <v>United States</v>
      </c>
      <c r="J434" s="2">
        <v>44872</v>
      </c>
    </row>
    <row r="435" spans="1:10" x14ac:dyDescent="0.3">
      <c r="A435" t="s">
        <v>2515</v>
      </c>
      <c r="C435" t="s">
        <v>2963</v>
      </c>
      <c r="D435" t="s">
        <v>16</v>
      </c>
      <c r="E435" s="2">
        <v>44873</v>
      </c>
      <c r="G435" t="str">
        <f t="shared" si="12"/>
        <v>Edge of the Universe</v>
      </c>
      <c r="H435" t="str">
        <f>IF('Cleaned-data'!C435="unknown","Unknown",PROPER(TRIM('Cleaned-data'!C435)))</f>
        <v>Unknown</v>
      </c>
      <c r="I435" t="str">
        <f t="shared" si="13"/>
        <v>United States</v>
      </c>
      <c r="J435" s="2">
        <v>44873</v>
      </c>
    </row>
    <row r="436" spans="1:10" x14ac:dyDescent="0.3">
      <c r="A436" t="s">
        <v>2519</v>
      </c>
      <c r="C436" t="s">
        <v>2520</v>
      </c>
      <c r="D436" t="s">
        <v>16</v>
      </c>
      <c r="E436" s="2">
        <v>44874</v>
      </c>
      <c r="G436" t="str">
        <f t="shared" si="12"/>
        <v>Pee-wee's Big Holiday</v>
      </c>
      <c r="H436" t="str">
        <f>IF('Cleaned-data'!C436="unknown","Unknown",PROPER(TRIM('Cleaned-data'!C436)))</f>
        <v>John Lee</v>
      </c>
      <c r="I436" t="str">
        <f t="shared" si="13"/>
        <v>United States</v>
      </c>
      <c r="J436" s="2">
        <v>44874</v>
      </c>
    </row>
    <row r="437" spans="1:10" x14ac:dyDescent="0.3">
      <c r="A437" t="s">
        <v>2526</v>
      </c>
      <c r="C437" t="s">
        <v>2963</v>
      </c>
      <c r="D437" t="s">
        <v>16</v>
      </c>
      <c r="E437" s="2">
        <v>44875</v>
      </c>
      <c r="G437" t="str">
        <f t="shared" si="12"/>
        <v>'89</v>
      </c>
      <c r="H437" t="str">
        <f>IF('Cleaned-data'!C437="unknown","Unknown",PROPER(TRIM('Cleaned-data'!C437)))</f>
        <v>Unknown</v>
      </c>
      <c r="I437" t="str">
        <f t="shared" si="13"/>
        <v>United States</v>
      </c>
      <c r="J437" s="2">
        <v>44875</v>
      </c>
    </row>
    <row r="438" spans="1:10" x14ac:dyDescent="0.3">
      <c r="A438" t="s">
        <v>2532</v>
      </c>
      <c r="C438" t="s">
        <v>2533</v>
      </c>
      <c r="D438" t="s">
        <v>16</v>
      </c>
      <c r="E438" s="2">
        <v>44876</v>
      </c>
      <c r="G438" t="str">
        <f t="shared" si="12"/>
        <v>2036 Origin Unknown</v>
      </c>
      <c r="H438" t="str">
        <f>IF('Cleaned-data'!C438="unknown","Unknown",PROPER(TRIM('Cleaned-data'!C438)))</f>
        <v>Hasraf Dulull</v>
      </c>
      <c r="I438" t="str">
        <f t="shared" si="13"/>
        <v>United States</v>
      </c>
      <c r="J438" s="2">
        <v>44876</v>
      </c>
    </row>
    <row r="439" spans="1:10" x14ac:dyDescent="0.3">
      <c r="A439" t="s">
        <v>2538</v>
      </c>
      <c r="C439" t="s">
        <v>2539</v>
      </c>
      <c r="D439" t="s">
        <v>16</v>
      </c>
      <c r="E439" s="2">
        <v>44877</v>
      </c>
      <c r="G439" t="str">
        <f t="shared" si="12"/>
        <v>4th Man Out</v>
      </c>
      <c r="H439" t="str">
        <f>IF('Cleaned-data'!C439="unknown","Unknown",PROPER(TRIM('Cleaned-data'!C439)))</f>
        <v>Andrew Nackman</v>
      </c>
      <c r="I439" t="str">
        <f t="shared" si="13"/>
        <v>United States</v>
      </c>
      <c r="J439" s="2">
        <v>44877</v>
      </c>
    </row>
    <row r="440" spans="1:10" x14ac:dyDescent="0.3">
      <c r="A440" t="s">
        <v>2544</v>
      </c>
      <c r="C440" t="s">
        <v>2545</v>
      </c>
      <c r="D440" t="s">
        <v>16</v>
      </c>
      <c r="E440" s="2">
        <v>44878</v>
      </c>
      <c r="G440" t="str">
        <f t="shared" si="12"/>
        <v>68 Kill</v>
      </c>
      <c r="H440" t="str">
        <f>IF('Cleaned-data'!C440="unknown","Unknown",PROPER(TRIM('Cleaned-data'!C440)))</f>
        <v>Trent Haaga</v>
      </c>
      <c r="I440" t="str">
        <f t="shared" si="13"/>
        <v>United States</v>
      </c>
      <c r="J440" s="2">
        <v>44878</v>
      </c>
    </row>
    <row r="441" spans="1:10" x14ac:dyDescent="0.3">
      <c r="A441" t="s">
        <v>2550</v>
      </c>
      <c r="C441" t="s">
        <v>2551</v>
      </c>
      <c r="D441" t="s">
        <v>16</v>
      </c>
      <c r="E441" s="2">
        <v>44879</v>
      </c>
      <c r="G441" t="str">
        <f t="shared" si="12"/>
        <v>A Clockwork Orange</v>
      </c>
      <c r="H441" t="str">
        <f>IF('Cleaned-data'!C441="unknown","Unknown",PROPER(TRIM('Cleaned-data'!C441)))</f>
        <v>Stanley Kubrick</v>
      </c>
      <c r="I441" t="str">
        <f t="shared" si="13"/>
        <v>United States</v>
      </c>
      <c r="J441" s="2">
        <v>44879</v>
      </c>
    </row>
    <row r="442" spans="1:10" x14ac:dyDescent="0.3">
      <c r="A442" t="s">
        <v>2556</v>
      </c>
      <c r="C442" t="s">
        <v>2963</v>
      </c>
      <c r="D442" t="s">
        <v>16</v>
      </c>
      <c r="E442" s="2">
        <v>44880</v>
      </c>
      <c r="G442" t="str">
        <f t="shared" si="12"/>
        <v>A Young Doctor's Notebook and Other Stories</v>
      </c>
      <c r="H442" t="str">
        <f>IF('Cleaned-data'!C442="unknown","Unknown",PROPER(TRIM('Cleaned-data'!C442)))</f>
        <v>Unknown</v>
      </c>
      <c r="I442" t="str">
        <f t="shared" si="13"/>
        <v>United States</v>
      </c>
      <c r="J442" s="2">
        <v>44880</v>
      </c>
    </row>
    <row r="443" spans="1:10" x14ac:dyDescent="0.3">
      <c r="A443" t="s">
        <v>2561</v>
      </c>
      <c r="C443" t="s">
        <v>2562</v>
      </c>
      <c r="D443" t="s">
        <v>16</v>
      </c>
      <c r="E443" s="2">
        <v>44881</v>
      </c>
      <c r="G443" t="str">
        <f t="shared" si="12"/>
        <v>A.X.L.</v>
      </c>
      <c r="H443" t="str">
        <f>IF('Cleaned-data'!C443="unknown","Unknown",PROPER(TRIM('Cleaned-data'!C443)))</f>
        <v>Oliver Daly</v>
      </c>
      <c r="I443" t="str">
        <f t="shared" si="13"/>
        <v>United States</v>
      </c>
      <c r="J443" s="2">
        <v>44881</v>
      </c>
    </row>
    <row r="444" spans="1:10" x14ac:dyDescent="0.3">
      <c r="A444" t="s">
        <v>2567</v>
      </c>
      <c r="C444" t="s">
        <v>2568</v>
      </c>
      <c r="D444" t="s">
        <v>16</v>
      </c>
      <c r="E444" s="2">
        <v>44882</v>
      </c>
      <c r="G444" t="str">
        <f t="shared" si="12"/>
        <v>Addicted to Life</v>
      </c>
      <c r="H444" t="str">
        <f>IF('Cleaned-data'!C444="unknown","Unknown",PROPER(TRIM('Cleaned-data'!C444)))</f>
        <v>Thierry Donard</v>
      </c>
      <c r="I444" t="str">
        <f t="shared" si="13"/>
        <v>United States</v>
      </c>
      <c r="J444" s="2">
        <v>44882</v>
      </c>
    </row>
    <row r="445" spans="1:10" x14ac:dyDescent="0.3">
      <c r="A445" t="s">
        <v>2573</v>
      </c>
      <c r="C445" t="s">
        <v>2574</v>
      </c>
      <c r="D445" t="s">
        <v>16</v>
      </c>
      <c r="E445" s="2">
        <v>44883</v>
      </c>
      <c r="G445" t="str">
        <f t="shared" si="12"/>
        <v>All Hallows' Eve</v>
      </c>
      <c r="H445" t="str">
        <f>IF('Cleaned-data'!C445="unknown","Unknown",PROPER(TRIM('Cleaned-data'!C445)))</f>
        <v>Charlie Vaughn</v>
      </c>
      <c r="I445" t="str">
        <f t="shared" si="13"/>
        <v>United States</v>
      </c>
      <c r="J445" s="2">
        <v>44883</v>
      </c>
    </row>
    <row r="446" spans="1:10" x14ac:dyDescent="0.3">
      <c r="A446" t="s">
        <v>2579</v>
      </c>
      <c r="C446" t="s">
        <v>1147</v>
      </c>
      <c r="D446" t="s">
        <v>16</v>
      </c>
      <c r="E446" s="2">
        <v>44884</v>
      </c>
      <c r="G446" t="str">
        <f t="shared" si="12"/>
        <v>American Psycho</v>
      </c>
      <c r="H446" t="str">
        <f>IF('Cleaned-data'!C446="unknown","Unknown",PROPER(TRIM('Cleaned-data'!C446)))</f>
        <v>Mary Harron</v>
      </c>
      <c r="I446" t="str">
        <f t="shared" si="13"/>
        <v>United States</v>
      </c>
      <c r="J446" s="2">
        <v>44884</v>
      </c>
    </row>
    <row r="447" spans="1:10" x14ac:dyDescent="0.3">
      <c r="A447" t="s">
        <v>2584</v>
      </c>
      <c r="C447" t="s">
        <v>2963</v>
      </c>
      <c r="D447" t="s">
        <v>16</v>
      </c>
      <c r="E447" s="2">
        <v>44885</v>
      </c>
      <c r="G447" t="str">
        <f t="shared" si="12"/>
        <v>Anjaan: Rural Myths</v>
      </c>
      <c r="H447" t="str">
        <f>IF('Cleaned-data'!C447="unknown","Unknown",PROPER(TRIM('Cleaned-data'!C447)))</f>
        <v>Unknown</v>
      </c>
      <c r="I447" t="str">
        <f t="shared" si="13"/>
        <v>United States</v>
      </c>
      <c r="J447" s="2">
        <v>44885</v>
      </c>
    </row>
    <row r="448" spans="1:10" x14ac:dyDescent="0.3">
      <c r="A448" t="s">
        <v>2588</v>
      </c>
      <c r="C448" t="s">
        <v>1892</v>
      </c>
      <c r="D448" t="s">
        <v>16</v>
      </c>
      <c r="E448" s="2">
        <v>44886</v>
      </c>
      <c r="G448" t="str">
        <f t="shared" si="12"/>
        <v>Basic Instinct</v>
      </c>
      <c r="H448" t="str">
        <f>IF('Cleaned-data'!C448="unknown","Unknown",PROPER(TRIM('Cleaned-data'!C448)))</f>
        <v>Paul Verhoeven</v>
      </c>
      <c r="I448" t="str">
        <f t="shared" si="13"/>
        <v>United States</v>
      </c>
      <c r="J448" s="2">
        <v>44886</v>
      </c>
    </row>
    <row r="449" spans="1:10" x14ac:dyDescent="0.3">
      <c r="A449" t="s">
        <v>2593</v>
      </c>
      <c r="C449" t="s">
        <v>2963</v>
      </c>
      <c r="D449" t="s">
        <v>16</v>
      </c>
      <c r="E449" s="2">
        <v>44887</v>
      </c>
      <c r="G449" t="str">
        <f t="shared" si="12"/>
        <v>Bates Motel</v>
      </c>
      <c r="H449" t="str">
        <f>IF('Cleaned-data'!C449="unknown","Unknown",PROPER(TRIM('Cleaned-data'!C449)))</f>
        <v>Unknown</v>
      </c>
      <c r="I449" t="str">
        <f t="shared" si="13"/>
        <v>United States</v>
      </c>
      <c r="J449" s="2">
        <v>44887</v>
      </c>
    </row>
    <row r="450" spans="1:10" x14ac:dyDescent="0.3">
      <c r="A450" t="s">
        <v>2598</v>
      </c>
      <c r="C450" t="s">
        <v>2963</v>
      </c>
      <c r="D450" t="s">
        <v>16</v>
      </c>
      <c r="E450" s="2">
        <v>44888</v>
      </c>
      <c r="G450" t="str">
        <f t="shared" si="12"/>
        <v>Battlefield Recovery</v>
      </c>
      <c r="H450" t="str">
        <f>IF('Cleaned-data'!C450="unknown","Unknown",PROPER(TRIM('Cleaned-data'!C450)))</f>
        <v>Unknown</v>
      </c>
      <c r="I450" t="str">
        <f t="shared" si="13"/>
        <v>United States</v>
      </c>
      <c r="J450" s="2">
        <v>44888</v>
      </c>
    </row>
    <row r="451" spans="1:10" x14ac:dyDescent="0.3">
      <c r="A451" t="s">
        <v>2603</v>
      </c>
      <c r="C451" t="s">
        <v>2604</v>
      </c>
      <c r="D451" t="s">
        <v>16</v>
      </c>
      <c r="E451" s="2">
        <v>44889</v>
      </c>
      <c r="G451" t="str">
        <f t="shared" ref="G451:G514" si="14">TRIM(A451)</f>
        <v>Behind the Curtain: Todrick Hall</v>
      </c>
      <c r="H451" t="str">
        <f>IF('Cleaned-data'!C451="unknown","Unknown",PROPER(TRIM('Cleaned-data'!C451)))</f>
        <v>Katherine Fairfax Wright</v>
      </c>
      <c r="I451" t="str">
        <f t="shared" ref="I451:I514" si="15">TRIM(D451)</f>
        <v>United States</v>
      </c>
      <c r="J451" s="2">
        <v>44889</v>
      </c>
    </row>
    <row r="452" spans="1:10" x14ac:dyDescent="0.3">
      <c r="A452" t="s">
        <v>2609</v>
      </c>
      <c r="C452" t="s">
        <v>2610</v>
      </c>
      <c r="D452" t="s">
        <v>16</v>
      </c>
      <c r="E452" s="2">
        <v>44890</v>
      </c>
      <c r="G452" t="str">
        <f t="shared" si="14"/>
        <v>Butterfield 8</v>
      </c>
      <c r="H452" t="str">
        <f>IF('Cleaned-data'!C452="unknown","Unknown",PROPER(TRIM('Cleaned-data'!C452)))</f>
        <v>Daniel Mann</v>
      </c>
      <c r="I452" t="str">
        <f t="shared" si="15"/>
        <v>United States</v>
      </c>
      <c r="J452" s="2">
        <v>44890</v>
      </c>
    </row>
    <row r="453" spans="1:10" x14ac:dyDescent="0.3">
      <c r="A453" t="s">
        <v>2615</v>
      </c>
      <c r="C453" t="s">
        <v>2616</v>
      </c>
      <c r="D453" t="s">
        <v>16</v>
      </c>
      <c r="E453" s="2">
        <v>44891</v>
      </c>
      <c r="G453" t="str">
        <f t="shared" si="14"/>
        <v>Camelia la Texana</v>
      </c>
      <c r="H453" t="str">
        <f>IF('Cleaned-data'!C453="unknown","Unknown",PROPER(TRIM('Cleaned-data'!C453)))</f>
        <v>Carlos Bolado</v>
      </c>
      <c r="I453" t="str">
        <f t="shared" si="15"/>
        <v>United States</v>
      </c>
      <c r="J453" s="2">
        <v>44891</v>
      </c>
    </row>
    <row r="454" spans="1:10" x14ac:dyDescent="0.3">
      <c r="A454" t="s">
        <v>2621</v>
      </c>
      <c r="C454" t="s">
        <v>2622</v>
      </c>
      <c r="D454" t="s">
        <v>16</v>
      </c>
      <c r="E454" s="2">
        <v>44892</v>
      </c>
      <c r="G454" t="str">
        <f t="shared" si="14"/>
        <v>Carrie</v>
      </c>
      <c r="H454" t="str">
        <f>IF('Cleaned-data'!C454="unknown","Unknown",PROPER(TRIM('Cleaned-data'!C454)))</f>
        <v>Brian De Palma</v>
      </c>
      <c r="I454" t="str">
        <f t="shared" si="15"/>
        <v>United States</v>
      </c>
      <c r="J454" s="2">
        <v>44892</v>
      </c>
    </row>
    <row r="455" spans="1:10" x14ac:dyDescent="0.3">
      <c r="A455" t="s">
        <v>2627</v>
      </c>
      <c r="C455" t="s">
        <v>2963</v>
      </c>
      <c r="D455" t="s">
        <v>16</v>
      </c>
      <c r="E455" s="2">
        <v>44893</v>
      </c>
      <c r="G455" t="str">
        <f t="shared" si="14"/>
        <v>Case Closed</v>
      </c>
      <c r="H455" t="str">
        <f>IF('Cleaned-data'!C455="unknown","Unknown",PROPER(TRIM('Cleaned-data'!C455)))</f>
        <v>Unknown</v>
      </c>
      <c r="I455" t="str">
        <f t="shared" si="15"/>
        <v>United States</v>
      </c>
      <c r="J455" s="2">
        <v>44893</v>
      </c>
    </row>
    <row r="456" spans="1:10" x14ac:dyDescent="0.3">
      <c r="A456" t="s">
        <v>2632</v>
      </c>
      <c r="C456" t="s">
        <v>2633</v>
      </c>
      <c r="D456" t="s">
        <v>16</v>
      </c>
      <c r="E456" s="2">
        <v>44894</v>
      </c>
      <c r="G456" t="str">
        <f t="shared" si="14"/>
        <v>Charlotte's Web</v>
      </c>
      <c r="H456" t="str">
        <f>IF('Cleaned-data'!C456="unknown","Unknown",PROPER(TRIM('Cleaned-data'!C456)))</f>
        <v>Charles A. Nichols, Iwao Takamoto</v>
      </c>
      <c r="I456" t="str">
        <f t="shared" si="15"/>
        <v>United States</v>
      </c>
      <c r="J456" s="2">
        <v>44894</v>
      </c>
    </row>
    <row r="457" spans="1:10" x14ac:dyDescent="0.3">
      <c r="A457" t="s">
        <v>2638</v>
      </c>
      <c r="C457" t="s">
        <v>2601</v>
      </c>
      <c r="D457" t="s">
        <v>16</v>
      </c>
      <c r="E457" s="2">
        <v>44895</v>
      </c>
      <c r="G457" t="str">
        <f t="shared" si="14"/>
        <v>Chupke Chupke</v>
      </c>
      <c r="H457" t="str">
        <f>IF('Cleaned-data'!C457="unknown","Unknown",PROPER(TRIM('Cleaned-data'!C457)))</f>
        <v>Hrishikesh Mukherjee</v>
      </c>
      <c r="I457" t="str">
        <f t="shared" si="15"/>
        <v>United States</v>
      </c>
      <c r="J457" s="2">
        <v>44895</v>
      </c>
    </row>
    <row r="458" spans="1:10" x14ac:dyDescent="0.3">
      <c r="A458" t="s">
        <v>2643</v>
      </c>
      <c r="C458" t="s">
        <v>2524</v>
      </c>
      <c r="D458" t="s">
        <v>16</v>
      </c>
      <c r="E458" s="2">
        <v>44896</v>
      </c>
      <c r="G458" t="str">
        <f t="shared" si="14"/>
        <v>Click</v>
      </c>
      <c r="H458" t="str">
        <f>IF('Cleaned-data'!C458="unknown","Unknown",PROPER(TRIM('Cleaned-data'!C458)))</f>
        <v>Frank Coraci</v>
      </c>
      <c r="I458" t="str">
        <f t="shared" si="15"/>
        <v>United States</v>
      </c>
      <c r="J458" s="2">
        <v>44896</v>
      </c>
    </row>
    <row r="459" spans="1:10" x14ac:dyDescent="0.3">
      <c r="A459" t="s">
        <v>2648</v>
      </c>
      <c r="C459" t="s">
        <v>2649</v>
      </c>
      <c r="D459" t="s">
        <v>16</v>
      </c>
      <c r="E459" s="2">
        <v>44897</v>
      </c>
      <c r="G459" t="str">
        <f t="shared" si="14"/>
        <v>Cloud Atlas</v>
      </c>
      <c r="H459" t="str">
        <f>IF('Cleaned-data'!C459="unknown","Unknown",PROPER(TRIM('Cleaned-data'!C459)))</f>
        <v>Lilly Wachowski, Lana Wachowski, Tom Tykwer</v>
      </c>
      <c r="I459" t="str">
        <f t="shared" si="15"/>
        <v>United States</v>
      </c>
      <c r="J459" s="2">
        <v>44897</v>
      </c>
    </row>
    <row r="460" spans="1:10" x14ac:dyDescent="0.3">
      <c r="A460" t="s">
        <v>2654</v>
      </c>
      <c r="C460" t="s">
        <v>2655</v>
      </c>
      <c r="D460" t="s">
        <v>16</v>
      </c>
      <c r="E460" s="2">
        <v>44898</v>
      </c>
      <c r="G460" t="str">
        <f t="shared" si="14"/>
        <v>Covered: Alive in Asia</v>
      </c>
      <c r="H460" t="str">
        <f>IF('Cleaned-data'!C460="unknown","Unknown",PROPER(TRIM('Cleaned-data'!C460)))</f>
        <v>Micah Bickham, Galley Molina</v>
      </c>
      <c r="I460" t="str">
        <f t="shared" si="15"/>
        <v>United States</v>
      </c>
      <c r="J460" s="2">
        <v>44898</v>
      </c>
    </row>
    <row r="461" spans="1:10" x14ac:dyDescent="0.3">
      <c r="A461" t="s">
        <v>2660</v>
      </c>
      <c r="C461" t="s">
        <v>2963</v>
      </c>
      <c r="D461" t="s">
        <v>16</v>
      </c>
      <c r="E461" s="2">
        <v>44899</v>
      </c>
      <c r="G461" t="str">
        <f t="shared" si="14"/>
        <v>Dad's Army</v>
      </c>
      <c r="H461" t="str">
        <f>IF('Cleaned-data'!C461="unknown","Unknown",PROPER(TRIM('Cleaned-data'!C461)))</f>
        <v>Unknown</v>
      </c>
      <c r="I461" t="str">
        <f t="shared" si="15"/>
        <v>United States</v>
      </c>
      <c r="J461" s="2">
        <v>44899</v>
      </c>
    </row>
    <row r="462" spans="1:10" x14ac:dyDescent="0.3">
      <c r="A462" t="s">
        <v>2666</v>
      </c>
      <c r="C462" t="s">
        <v>2667</v>
      </c>
      <c r="D462" t="s">
        <v>16</v>
      </c>
      <c r="E462" s="2">
        <v>44900</v>
      </c>
      <c r="G462" t="str">
        <f t="shared" si="14"/>
        <v>Deathgrip</v>
      </c>
      <c r="H462" t="str">
        <f>IF('Cleaned-data'!C462="unknown","Unknown",PROPER(TRIM('Cleaned-data'!C462)))</f>
        <v>Clay Porter</v>
      </c>
      <c r="I462" t="str">
        <f t="shared" si="15"/>
        <v>United States</v>
      </c>
      <c r="J462" s="2">
        <v>44900</v>
      </c>
    </row>
    <row r="463" spans="1:10" x14ac:dyDescent="0.3">
      <c r="A463" t="s">
        <v>2672</v>
      </c>
      <c r="C463" t="s">
        <v>2963</v>
      </c>
      <c r="D463" t="s">
        <v>16</v>
      </c>
      <c r="E463" s="2">
        <v>44901</v>
      </c>
      <c r="G463" t="str">
        <f t="shared" si="14"/>
        <v>Devlok with Devdutt Pattanaik</v>
      </c>
      <c r="H463" t="str">
        <f>IF('Cleaned-data'!C463="unknown","Unknown",PROPER(TRIM('Cleaned-data'!C463)))</f>
        <v>Unknown</v>
      </c>
      <c r="I463" t="str">
        <f t="shared" si="15"/>
        <v>United States</v>
      </c>
      <c r="J463" s="2">
        <v>44901</v>
      </c>
    </row>
    <row r="464" spans="1:10" x14ac:dyDescent="0.3">
      <c r="A464" t="s">
        <v>2677</v>
      </c>
      <c r="C464" t="s">
        <v>2963</v>
      </c>
      <c r="D464" t="s">
        <v>16</v>
      </c>
      <c r="E464" s="2">
        <v>44902</v>
      </c>
      <c r="G464" t="str">
        <f t="shared" si="14"/>
        <v>El Chavo</v>
      </c>
      <c r="H464" t="str">
        <f>IF('Cleaned-data'!C464="unknown","Unknown",PROPER(TRIM('Cleaned-data'!C464)))</f>
        <v>Unknown</v>
      </c>
      <c r="I464" t="str">
        <f t="shared" si="15"/>
        <v>United States</v>
      </c>
      <c r="J464" s="2">
        <v>44902</v>
      </c>
    </row>
    <row r="465" spans="1:10" x14ac:dyDescent="0.3">
      <c r="A465" t="s">
        <v>2682</v>
      </c>
      <c r="C465" t="s">
        <v>2963</v>
      </c>
      <c r="D465" t="s">
        <v>16</v>
      </c>
      <c r="E465" s="2">
        <v>44903</v>
      </c>
      <c r="G465" t="str">
        <f t="shared" si="14"/>
        <v>El Clon</v>
      </c>
      <c r="H465" t="str">
        <f>IF('Cleaned-data'!C465="unknown","Unknown",PROPER(TRIM('Cleaned-data'!C465)))</f>
        <v>Unknown</v>
      </c>
      <c r="I465" t="str">
        <f t="shared" si="15"/>
        <v>United States</v>
      </c>
      <c r="J465" s="2">
        <v>44903</v>
      </c>
    </row>
    <row r="466" spans="1:10" x14ac:dyDescent="0.3">
      <c r="A466" t="s">
        <v>2687</v>
      </c>
      <c r="C466" t="s">
        <v>594</v>
      </c>
      <c r="D466" t="s">
        <v>16</v>
      </c>
      <c r="E466" s="2">
        <v>44904</v>
      </c>
      <c r="G466" t="str">
        <f t="shared" si="14"/>
        <v>Evan Almighty</v>
      </c>
      <c r="H466" t="str">
        <f>IF('Cleaned-data'!C466="unknown","Unknown",PROPER(TRIM('Cleaned-data'!C466)))</f>
        <v>Tom Shadyac</v>
      </c>
      <c r="I466" t="str">
        <f t="shared" si="15"/>
        <v>United States</v>
      </c>
      <c r="J466" s="2">
        <v>44904</v>
      </c>
    </row>
    <row r="467" spans="1:10" x14ac:dyDescent="0.3">
      <c r="A467" t="s">
        <v>2692</v>
      </c>
      <c r="C467" t="s">
        <v>2693</v>
      </c>
      <c r="D467" t="s">
        <v>16</v>
      </c>
      <c r="E467" s="2">
        <v>44905</v>
      </c>
      <c r="G467" t="str">
        <f t="shared" si="14"/>
        <v>Father Brown</v>
      </c>
      <c r="H467" t="str">
        <f>IF('Cleaned-data'!C467="unknown","Unknown",PROPER(TRIM('Cleaned-data'!C467)))</f>
        <v>Ian Barber</v>
      </c>
      <c r="I467" t="str">
        <f t="shared" si="15"/>
        <v>United States</v>
      </c>
      <c r="J467" s="2">
        <v>44905</v>
      </c>
    </row>
    <row r="468" spans="1:10" x14ac:dyDescent="0.3">
      <c r="A468" t="s">
        <v>2698</v>
      </c>
      <c r="C468" t="s">
        <v>2699</v>
      </c>
      <c r="D468" t="s">
        <v>16</v>
      </c>
      <c r="E468" s="2">
        <v>44906</v>
      </c>
      <c r="G468" t="str">
        <f t="shared" si="14"/>
        <v>Fiddler on the Roof</v>
      </c>
      <c r="H468" t="str">
        <f>IF('Cleaned-data'!C468="unknown","Unknown",PROPER(TRIM('Cleaned-data'!C468)))</f>
        <v>Norman Jewison</v>
      </c>
      <c r="I468" t="str">
        <f t="shared" si="15"/>
        <v>United States</v>
      </c>
      <c r="J468" s="2">
        <v>44906</v>
      </c>
    </row>
    <row r="469" spans="1:10" x14ac:dyDescent="0.3">
      <c r="A469" t="s">
        <v>2704</v>
      </c>
      <c r="C469" t="s">
        <v>2705</v>
      </c>
      <c r="D469" t="s">
        <v>16</v>
      </c>
      <c r="E469" s="2">
        <v>44907</v>
      </c>
      <c r="G469" t="str">
        <f t="shared" si="14"/>
        <v>Final Destination</v>
      </c>
      <c r="H469" t="str">
        <f>IF('Cleaned-data'!C469="unknown","Unknown",PROPER(TRIM('Cleaned-data'!C469)))</f>
        <v>James Wong</v>
      </c>
      <c r="I469" t="str">
        <f t="shared" si="15"/>
        <v>United States</v>
      </c>
      <c r="J469" s="2">
        <v>44907</v>
      </c>
    </row>
    <row r="470" spans="1:10" x14ac:dyDescent="0.3">
      <c r="A470" t="s">
        <v>2710</v>
      </c>
      <c r="C470" t="s">
        <v>2711</v>
      </c>
      <c r="D470" t="s">
        <v>16</v>
      </c>
      <c r="E470" s="2">
        <v>44908</v>
      </c>
      <c r="G470" t="str">
        <f t="shared" si="14"/>
        <v>Forbidden Planet</v>
      </c>
      <c r="H470" t="str">
        <f>IF('Cleaned-data'!C470="unknown","Unknown",PROPER(TRIM('Cleaned-data'!C470)))</f>
        <v>Fred M. Wilcox</v>
      </c>
      <c r="I470" t="str">
        <f t="shared" si="15"/>
        <v>United States</v>
      </c>
      <c r="J470" s="2">
        <v>44908</v>
      </c>
    </row>
    <row r="471" spans="1:10" x14ac:dyDescent="0.3">
      <c r="A471" t="s">
        <v>2716</v>
      </c>
      <c r="C471" t="s">
        <v>2963</v>
      </c>
      <c r="D471" t="s">
        <v>16</v>
      </c>
      <c r="E471" s="2">
        <v>44909</v>
      </c>
      <c r="G471" t="str">
        <f t="shared" si="14"/>
        <v>Galavant</v>
      </c>
      <c r="H471" t="str">
        <f>IF('Cleaned-data'!C471="unknown","Unknown",PROPER(TRIM('Cleaned-data'!C471)))</f>
        <v>Unknown</v>
      </c>
      <c r="I471" t="str">
        <f t="shared" si="15"/>
        <v>United States</v>
      </c>
      <c r="J471" s="2">
        <v>44909</v>
      </c>
    </row>
    <row r="472" spans="1:10" x14ac:dyDescent="0.3">
      <c r="A472" t="s">
        <v>2721</v>
      </c>
      <c r="C472" t="s">
        <v>2722</v>
      </c>
      <c r="D472" t="s">
        <v>16</v>
      </c>
      <c r="E472" s="2">
        <v>44910</v>
      </c>
      <c r="G472" t="str">
        <f t="shared" si="14"/>
        <v>Gigi</v>
      </c>
      <c r="H472" t="str">
        <f>IF('Cleaned-data'!C472="unknown","Unknown",PROPER(TRIM('Cleaned-data'!C472)))</f>
        <v>Vincente Minnelli, Charles Walters</v>
      </c>
      <c r="I472" t="str">
        <f t="shared" si="15"/>
        <v>United States</v>
      </c>
      <c r="J472" s="2">
        <v>44910</v>
      </c>
    </row>
    <row r="473" spans="1:10" x14ac:dyDescent="0.3">
      <c r="A473" t="s">
        <v>2727</v>
      </c>
      <c r="C473" t="s">
        <v>2728</v>
      </c>
      <c r="D473" t="s">
        <v>16</v>
      </c>
      <c r="E473" s="2">
        <v>44911</v>
      </c>
      <c r="G473" t="str">
        <f t="shared" si="14"/>
        <v>Gone are the Days</v>
      </c>
      <c r="H473" t="str">
        <f>IF('Cleaned-data'!C473="unknown","Unknown",PROPER(TRIM('Cleaned-data'!C473)))</f>
        <v>Mark Landre Gould</v>
      </c>
      <c r="I473" t="str">
        <f t="shared" si="15"/>
        <v>United States</v>
      </c>
      <c r="J473" s="2">
        <v>44911</v>
      </c>
    </row>
    <row r="474" spans="1:10" x14ac:dyDescent="0.3">
      <c r="A474" t="s">
        <v>2733</v>
      </c>
      <c r="C474" t="s">
        <v>2734</v>
      </c>
      <c r="D474" t="s">
        <v>16</v>
      </c>
      <c r="E474" s="2">
        <v>44912</v>
      </c>
      <c r="G474" t="str">
        <f t="shared" si="14"/>
        <v>Haunters: The Art of the Scare</v>
      </c>
      <c r="H474" t="str">
        <f>IF('Cleaned-data'!C474="unknown","Unknown",PROPER(TRIM('Cleaned-data'!C474)))</f>
        <v>Jon Schnitzer</v>
      </c>
      <c r="I474" t="str">
        <f t="shared" si="15"/>
        <v>United States</v>
      </c>
      <c r="J474" s="2">
        <v>44912</v>
      </c>
    </row>
    <row r="475" spans="1:10" x14ac:dyDescent="0.3">
      <c r="A475" t="s">
        <v>2738</v>
      </c>
      <c r="C475" t="s">
        <v>2963</v>
      </c>
      <c r="D475" t="s">
        <v>16</v>
      </c>
      <c r="E475" s="2">
        <v>44913</v>
      </c>
      <c r="G475" t="str">
        <f t="shared" si="14"/>
        <v>Haven</v>
      </c>
      <c r="H475" t="str">
        <f>IF('Cleaned-data'!C475="unknown","Unknown",PROPER(TRIM('Cleaned-data'!C475)))</f>
        <v>Unknown</v>
      </c>
      <c r="I475" t="str">
        <f t="shared" si="15"/>
        <v>United States</v>
      </c>
      <c r="J475" s="2">
        <v>44913</v>
      </c>
    </row>
    <row r="476" spans="1:10" x14ac:dyDescent="0.3">
      <c r="A476" t="s">
        <v>2743</v>
      </c>
      <c r="C476" t="s">
        <v>2744</v>
      </c>
      <c r="D476" t="s">
        <v>16</v>
      </c>
      <c r="E476" s="2">
        <v>44914</v>
      </c>
      <c r="G476" t="str">
        <f t="shared" si="14"/>
        <v>Holy Man 2</v>
      </c>
      <c r="H476" t="str">
        <f>IF('Cleaned-data'!C476="unknown","Unknown",PROPER(TRIM('Cleaned-data'!C476)))</f>
        <v>Note Chern-Yim</v>
      </c>
      <c r="I476" t="str">
        <f t="shared" si="15"/>
        <v>United States</v>
      </c>
      <c r="J476" s="2">
        <v>44914</v>
      </c>
    </row>
    <row r="477" spans="1:10" x14ac:dyDescent="0.3">
      <c r="A477" t="s">
        <v>2749</v>
      </c>
      <c r="C477" t="s">
        <v>1360</v>
      </c>
      <c r="D477" t="s">
        <v>16</v>
      </c>
      <c r="E477" s="2">
        <v>44915</v>
      </c>
      <c r="G477" t="str">
        <f t="shared" si="14"/>
        <v>Horns</v>
      </c>
      <c r="H477" t="str">
        <f>IF('Cleaned-data'!C477="unknown","Unknown",PROPER(TRIM('Cleaned-data'!C477)))</f>
        <v>Alexandre Aja</v>
      </c>
      <c r="I477" t="str">
        <f t="shared" si="15"/>
        <v>United States</v>
      </c>
      <c r="J477" s="2">
        <v>44915</v>
      </c>
    </row>
    <row r="478" spans="1:10" x14ac:dyDescent="0.3">
      <c r="A478" t="s">
        <v>2754</v>
      </c>
      <c r="C478" t="s">
        <v>2755</v>
      </c>
      <c r="D478" t="s">
        <v>16</v>
      </c>
      <c r="E478" s="2">
        <v>44916</v>
      </c>
      <c r="G478" t="str">
        <f t="shared" si="14"/>
        <v>Jonathan Strange &amp; Mr Norrell</v>
      </c>
      <c r="H478" t="str">
        <f>IF('Cleaned-data'!C478="unknown","Unknown",PROPER(TRIM('Cleaned-data'!C478)))</f>
        <v>Toby Haynes</v>
      </c>
      <c r="I478" t="str">
        <f t="shared" si="15"/>
        <v>United States</v>
      </c>
      <c r="J478" s="2">
        <v>44916</v>
      </c>
    </row>
    <row r="479" spans="1:10" x14ac:dyDescent="0.3">
      <c r="A479" t="s">
        <v>2760</v>
      </c>
      <c r="C479" t="s">
        <v>1736</v>
      </c>
      <c r="D479" t="s">
        <v>16</v>
      </c>
      <c r="E479" s="2">
        <v>44917</v>
      </c>
      <c r="G479" t="str">
        <f t="shared" si="14"/>
        <v>Killer Klowns from Outer Space</v>
      </c>
      <c r="H479" t="str">
        <f>IF('Cleaned-data'!C479="unknown","Unknown",PROPER(TRIM('Cleaned-data'!C479)))</f>
        <v>Stephen Chiodo</v>
      </c>
      <c r="I479" t="str">
        <f t="shared" si="15"/>
        <v>United States</v>
      </c>
      <c r="J479" s="2">
        <v>44917</v>
      </c>
    </row>
    <row r="480" spans="1:10" x14ac:dyDescent="0.3">
      <c r="A480" t="s">
        <v>2765</v>
      </c>
      <c r="C480" t="s">
        <v>2766</v>
      </c>
      <c r="D480" t="s">
        <v>16</v>
      </c>
      <c r="E480" s="2">
        <v>44918</v>
      </c>
      <c r="G480" t="str">
        <f t="shared" si="14"/>
        <v>Kingpin</v>
      </c>
      <c r="H480" t="str">
        <f>IF('Cleaned-data'!C480="unknown","Unknown",PROPER(TRIM('Cleaned-data'!C480)))</f>
        <v>Peter Farrelly, Bobby Farrelly</v>
      </c>
      <c r="I480" t="str">
        <f t="shared" si="15"/>
        <v>United States</v>
      </c>
      <c r="J480" s="2">
        <v>44918</v>
      </c>
    </row>
    <row r="481" spans="1:10" x14ac:dyDescent="0.3">
      <c r="A481" t="s">
        <v>2771</v>
      </c>
      <c r="C481" t="s">
        <v>2772</v>
      </c>
      <c r="D481" t="s">
        <v>16</v>
      </c>
      <c r="E481" s="2">
        <v>44919</v>
      </c>
      <c r="G481" t="str">
        <f t="shared" si="14"/>
        <v>Know Your Enemy - Japan</v>
      </c>
      <c r="H481" t="str">
        <f>IF('Cleaned-data'!C481="unknown","Unknown",PROPER(TRIM('Cleaned-data'!C481)))</f>
        <v>Frank Capra, Joris Ivens</v>
      </c>
      <c r="I481" t="str">
        <f t="shared" si="15"/>
        <v>United States</v>
      </c>
      <c r="J481" s="2">
        <v>44919</v>
      </c>
    </row>
    <row r="482" spans="1:10" x14ac:dyDescent="0.3">
      <c r="A482" t="s">
        <v>2777</v>
      </c>
      <c r="C482" t="s">
        <v>2778</v>
      </c>
      <c r="D482" t="s">
        <v>16</v>
      </c>
      <c r="E482" s="2">
        <v>44920</v>
      </c>
      <c r="G482" t="str">
        <f t="shared" si="14"/>
        <v>Left Behind</v>
      </c>
      <c r="H482" t="str">
        <f>IF('Cleaned-data'!C482="unknown","Unknown",PROPER(TRIM('Cleaned-data'!C482)))</f>
        <v>Vic Armstrong</v>
      </c>
      <c r="I482" t="str">
        <f t="shared" si="15"/>
        <v>United States</v>
      </c>
      <c r="J482" s="2">
        <v>44920</v>
      </c>
    </row>
    <row r="483" spans="1:10" x14ac:dyDescent="0.3">
      <c r="A483" t="s">
        <v>2783</v>
      </c>
      <c r="C483" t="s">
        <v>2963</v>
      </c>
      <c r="D483" t="s">
        <v>16</v>
      </c>
      <c r="E483" s="2">
        <v>44921</v>
      </c>
      <c r="G483" t="str">
        <f t="shared" si="14"/>
        <v>LEGO Ninjago: Masters of Spinjitzu: Day of the Departed</v>
      </c>
      <c r="H483" t="str">
        <f>IF('Cleaned-data'!C483="unknown","Unknown",PROPER(TRIM('Cleaned-data'!C483)))</f>
        <v>Unknown</v>
      </c>
      <c r="I483" t="str">
        <f t="shared" si="15"/>
        <v>United States</v>
      </c>
      <c r="J483" s="2">
        <v>44921</v>
      </c>
    </row>
    <row r="484" spans="1:10" x14ac:dyDescent="0.3">
      <c r="A484" t="s">
        <v>2787</v>
      </c>
      <c r="C484" t="s">
        <v>2963</v>
      </c>
      <c r="D484" t="s">
        <v>16</v>
      </c>
      <c r="E484" s="2">
        <v>44922</v>
      </c>
      <c r="G484" t="str">
        <f t="shared" si="14"/>
        <v>Man vs Wild with Sunny Leone</v>
      </c>
      <c r="H484" t="str">
        <f>IF('Cleaned-data'!C484="unknown","Unknown",PROPER(TRIM('Cleaned-data'!C484)))</f>
        <v>Unknown</v>
      </c>
      <c r="I484" t="str">
        <f t="shared" si="15"/>
        <v>United States</v>
      </c>
      <c r="J484" s="2">
        <v>44922</v>
      </c>
    </row>
    <row r="485" spans="1:10" x14ac:dyDescent="0.3">
      <c r="A485" t="s">
        <v>2792</v>
      </c>
      <c r="C485" t="s">
        <v>2793</v>
      </c>
      <c r="D485" t="s">
        <v>16</v>
      </c>
      <c r="E485" s="2">
        <v>44923</v>
      </c>
      <c r="G485" t="str">
        <f t="shared" si="14"/>
        <v>Mars</v>
      </c>
      <c r="H485" t="str">
        <f>IF('Cleaned-data'!C485="unknown","Unknown",PROPER(TRIM('Cleaned-data'!C485)))</f>
        <v>Everardo Gout</v>
      </c>
      <c r="I485" t="str">
        <f t="shared" si="15"/>
        <v>United States</v>
      </c>
      <c r="J485" s="2">
        <v>44923</v>
      </c>
    </row>
    <row r="486" spans="1:10" x14ac:dyDescent="0.3">
      <c r="A486" t="s">
        <v>2798</v>
      </c>
      <c r="C486" t="s">
        <v>2799</v>
      </c>
      <c r="D486" t="s">
        <v>16</v>
      </c>
      <c r="E486" s="2">
        <v>44924</v>
      </c>
      <c r="G486" t="str">
        <f t="shared" si="14"/>
        <v>Miss Hokusai</v>
      </c>
      <c r="H486" t="str">
        <f>IF('Cleaned-data'!C486="unknown","Unknown",PROPER(TRIM('Cleaned-data'!C486)))</f>
        <v>Keiichi Hara</v>
      </c>
      <c r="I486" t="str">
        <f t="shared" si="15"/>
        <v>United States</v>
      </c>
      <c r="J486" s="2">
        <v>44924</v>
      </c>
    </row>
    <row r="487" spans="1:10" x14ac:dyDescent="0.3">
      <c r="A487" t="s">
        <v>2804</v>
      </c>
      <c r="C487" t="s">
        <v>2805</v>
      </c>
      <c r="D487" t="s">
        <v>16</v>
      </c>
      <c r="E487" s="2">
        <v>44925</v>
      </c>
      <c r="G487" t="str">
        <f t="shared" si="14"/>
        <v>Mohawk</v>
      </c>
      <c r="H487" t="str">
        <f>IF('Cleaned-data'!C487="unknown","Unknown",PROPER(TRIM('Cleaned-data'!C487)))</f>
        <v>Ted Geoghegan</v>
      </c>
      <c r="I487" t="str">
        <f t="shared" si="15"/>
        <v>United States</v>
      </c>
      <c r="J487" s="2">
        <v>44925</v>
      </c>
    </row>
    <row r="488" spans="1:10" x14ac:dyDescent="0.3">
      <c r="A488" t="s">
        <v>2810</v>
      </c>
      <c r="C488" t="s">
        <v>562</v>
      </c>
      <c r="D488" t="s">
        <v>16</v>
      </c>
      <c r="E488" s="2">
        <v>44926</v>
      </c>
      <c r="G488" t="str">
        <f t="shared" si="14"/>
        <v>Once Upon a Time in the West</v>
      </c>
      <c r="H488" t="str">
        <f>IF('Cleaned-data'!C488="unknown","Unknown",PROPER(TRIM('Cleaned-data'!C488)))</f>
        <v>Sergio Leone</v>
      </c>
      <c r="I488" t="str">
        <f t="shared" si="15"/>
        <v>United States</v>
      </c>
      <c r="J488" s="2">
        <v>44926</v>
      </c>
    </row>
    <row r="489" spans="1:10" x14ac:dyDescent="0.3">
      <c r="A489" t="s">
        <v>2815</v>
      </c>
      <c r="C489" t="s">
        <v>2816</v>
      </c>
      <c r="D489" t="s">
        <v>16</v>
      </c>
      <c r="E489" s="2">
        <v>44927</v>
      </c>
      <c r="G489" t="str">
        <f t="shared" si="14"/>
        <v>Only God Forgives</v>
      </c>
      <c r="H489" t="str">
        <f>IF('Cleaned-data'!C489="unknown","Unknown",PROPER(TRIM('Cleaned-data'!C489)))</f>
        <v>Nicolas Winding Refn</v>
      </c>
      <c r="I489" t="str">
        <f t="shared" si="15"/>
        <v>United States</v>
      </c>
      <c r="J489" s="2">
        <v>44927</v>
      </c>
    </row>
    <row r="490" spans="1:10" x14ac:dyDescent="0.3">
      <c r="A490" t="s">
        <v>2821</v>
      </c>
      <c r="C490" t="s">
        <v>2963</v>
      </c>
      <c r="D490" t="s">
        <v>16</v>
      </c>
      <c r="E490" s="2">
        <v>44928</v>
      </c>
      <c r="G490" t="str">
        <f t="shared" si="14"/>
        <v>Pacific Heat</v>
      </c>
      <c r="H490" t="str">
        <f>IF('Cleaned-data'!C490="unknown","Unknown",PROPER(TRIM('Cleaned-data'!C490)))</f>
        <v>Unknown</v>
      </c>
      <c r="I490" t="str">
        <f t="shared" si="15"/>
        <v>United States</v>
      </c>
      <c r="J490" s="2">
        <v>44928</v>
      </c>
    </row>
    <row r="491" spans="1:10" x14ac:dyDescent="0.3">
      <c r="A491" t="s">
        <v>2826</v>
      </c>
      <c r="C491" t="s">
        <v>2827</v>
      </c>
      <c r="D491" t="s">
        <v>16</v>
      </c>
      <c r="E491" s="2">
        <v>44929</v>
      </c>
      <c r="G491" t="str">
        <f t="shared" si="14"/>
        <v>Paris Is Burning</v>
      </c>
      <c r="H491" t="str">
        <f>IF('Cleaned-data'!C491="unknown","Unknown",PROPER(TRIM('Cleaned-data'!C491)))</f>
        <v>Jennie Livingston</v>
      </c>
      <c r="I491" t="str">
        <f t="shared" si="15"/>
        <v>United States</v>
      </c>
      <c r="J491" s="2">
        <v>44929</v>
      </c>
    </row>
    <row r="492" spans="1:10" x14ac:dyDescent="0.3">
      <c r="A492" t="s">
        <v>2831</v>
      </c>
      <c r="C492" t="s">
        <v>2963</v>
      </c>
      <c r="D492" t="s">
        <v>16</v>
      </c>
      <c r="E492" s="2">
        <v>44930</v>
      </c>
      <c r="G492" t="str">
        <f t="shared" si="14"/>
        <v>Pee-wee's Playhouse</v>
      </c>
      <c r="H492" t="str">
        <f>IF('Cleaned-data'!C492="unknown","Unknown",PROPER(TRIM('Cleaned-data'!C492)))</f>
        <v>Unknown</v>
      </c>
      <c r="I492" t="str">
        <f t="shared" si="15"/>
        <v>United States</v>
      </c>
      <c r="J492" s="2">
        <v>44930</v>
      </c>
    </row>
    <row r="493" spans="1:10" x14ac:dyDescent="0.3">
      <c r="A493" t="s">
        <v>2836</v>
      </c>
      <c r="C493" t="s">
        <v>2508</v>
      </c>
      <c r="D493" t="s">
        <v>16</v>
      </c>
      <c r="E493" s="2">
        <v>44931</v>
      </c>
      <c r="G493" t="str">
        <f t="shared" si="14"/>
        <v>Philadelphia</v>
      </c>
      <c r="H493" t="str">
        <f>IF('Cleaned-data'!C493="unknown","Unknown",PROPER(TRIM('Cleaned-data'!C493)))</f>
        <v>Jonathan Demme</v>
      </c>
      <c r="I493" t="str">
        <f t="shared" si="15"/>
        <v>United States</v>
      </c>
      <c r="J493" s="2">
        <v>44931</v>
      </c>
    </row>
    <row r="494" spans="1:10" x14ac:dyDescent="0.3">
      <c r="A494" t="s">
        <v>2841</v>
      </c>
      <c r="C494" t="s">
        <v>1545</v>
      </c>
      <c r="D494" t="s">
        <v>16</v>
      </c>
      <c r="E494" s="2">
        <v>44932</v>
      </c>
      <c r="G494" t="str">
        <f t="shared" si="14"/>
        <v>Raging Bull</v>
      </c>
      <c r="H494" t="str">
        <f>IF('Cleaned-data'!C494="unknown","Unknown",PROPER(TRIM('Cleaned-data'!C494)))</f>
        <v>Martin Scorsese</v>
      </c>
      <c r="I494" t="str">
        <f t="shared" si="15"/>
        <v>United States</v>
      </c>
      <c r="J494" s="2">
        <v>44932</v>
      </c>
    </row>
    <row r="495" spans="1:10" x14ac:dyDescent="0.3">
      <c r="A495" t="s">
        <v>2846</v>
      </c>
      <c r="C495" t="s">
        <v>2847</v>
      </c>
      <c r="D495" t="s">
        <v>16</v>
      </c>
      <c r="E495" s="2">
        <v>44933</v>
      </c>
      <c r="G495" t="str">
        <f t="shared" si="14"/>
        <v>Red Dawn</v>
      </c>
      <c r="H495" t="str">
        <f>IF('Cleaned-data'!C495="unknown","Unknown",PROPER(TRIM('Cleaned-data'!C495)))</f>
        <v>John Milius</v>
      </c>
      <c r="I495" t="str">
        <f t="shared" si="15"/>
        <v>United States</v>
      </c>
      <c r="J495" s="2">
        <v>44933</v>
      </c>
    </row>
    <row r="496" spans="1:10" x14ac:dyDescent="0.3">
      <c r="A496" t="s">
        <v>2852</v>
      </c>
      <c r="C496" t="s">
        <v>2153</v>
      </c>
      <c r="D496" t="s">
        <v>16</v>
      </c>
      <c r="E496" s="2">
        <v>44934</v>
      </c>
      <c r="G496" t="str">
        <f t="shared" si="14"/>
        <v>Romeo Ranjha</v>
      </c>
      <c r="H496" t="str">
        <f>IF('Cleaned-data'!C496="unknown","Unknown",PROPER(TRIM('Cleaned-data'!C496)))</f>
        <v>Navaniat Singh</v>
      </c>
      <c r="I496" t="str">
        <f t="shared" si="15"/>
        <v>United States</v>
      </c>
      <c r="J496" s="2">
        <v>44934</v>
      </c>
    </row>
    <row r="497" spans="1:10" x14ac:dyDescent="0.3">
      <c r="A497" t="s">
        <v>2857</v>
      </c>
      <c r="C497" t="s">
        <v>2858</v>
      </c>
      <c r="D497" t="s">
        <v>16</v>
      </c>
      <c r="E497" s="2">
        <v>44935</v>
      </c>
      <c r="G497" t="str">
        <f t="shared" si="14"/>
        <v>Rosemary's Baby</v>
      </c>
      <c r="H497" t="str">
        <f>IF('Cleaned-data'!C497="unknown","Unknown",PROPER(TRIM('Cleaned-data'!C497)))</f>
        <v>Roman Polanski</v>
      </c>
      <c r="I497" t="str">
        <f t="shared" si="15"/>
        <v>United States</v>
      </c>
      <c r="J497" s="2">
        <v>44935</v>
      </c>
    </row>
    <row r="498" spans="1:10" x14ac:dyDescent="0.3">
      <c r="A498" t="s">
        <v>2863</v>
      </c>
      <c r="C498" t="s">
        <v>2864</v>
      </c>
      <c r="D498" t="s">
        <v>16</v>
      </c>
      <c r="E498" s="2">
        <v>44936</v>
      </c>
      <c r="G498" t="str">
        <f t="shared" si="14"/>
        <v>Scandal in Sorrento</v>
      </c>
      <c r="H498" t="str">
        <f>IF('Cleaned-data'!C498="unknown","Unknown",PROPER(TRIM('Cleaned-data'!C498)))</f>
        <v>Dino Risi</v>
      </c>
      <c r="I498" t="str">
        <f t="shared" si="15"/>
        <v>United States</v>
      </c>
      <c r="J498" s="2">
        <v>44936</v>
      </c>
    </row>
    <row r="499" spans="1:10" x14ac:dyDescent="0.3">
      <c r="A499" t="s">
        <v>2869</v>
      </c>
      <c r="C499" t="s">
        <v>2870</v>
      </c>
      <c r="D499" t="s">
        <v>16</v>
      </c>
      <c r="E499" s="2">
        <v>44937</v>
      </c>
      <c r="G499" t="str">
        <f t="shared" si="14"/>
        <v>Searching for Bobby Fischer</v>
      </c>
      <c r="H499" t="str">
        <f>IF('Cleaned-data'!C499="unknown","Unknown",PROPER(TRIM('Cleaned-data'!C499)))</f>
        <v>Steven Zaillian</v>
      </c>
      <c r="I499" t="str">
        <f t="shared" si="15"/>
        <v>United States</v>
      </c>
      <c r="J499" s="2">
        <v>44937</v>
      </c>
    </row>
    <row r="500" spans="1:10" x14ac:dyDescent="0.3">
      <c r="A500" t="s">
        <v>2875</v>
      </c>
      <c r="C500" t="s">
        <v>1373</v>
      </c>
      <c r="D500" t="s">
        <v>16</v>
      </c>
      <c r="E500" s="2">
        <v>44938</v>
      </c>
      <c r="G500" t="str">
        <f t="shared" si="14"/>
        <v>Soul Surfer</v>
      </c>
      <c r="H500" t="str">
        <f>IF('Cleaned-data'!C500="unknown","Unknown",PROPER(TRIM('Cleaned-data'!C500)))</f>
        <v>Sean Mcnamara</v>
      </c>
      <c r="I500" t="str">
        <f t="shared" si="15"/>
        <v>United States</v>
      </c>
      <c r="J500" s="2">
        <v>44938</v>
      </c>
    </row>
    <row r="501" spans="1:10" x14ac:dyDescent="0.3">
      <c r="A501" t="s">
        <v>2880</v>
      </c>
      <c r="C501" t="s">
        <v>2881</v>
      </c>
      <c r="D501" t="s">
        <v>16</v>
      </c>
      <c r="E501" s="2">
        <v>44939</v>
      </c>
      <c r="G501" t="str">
        <f t="shared" si="14"/>
        <v>Strictly Ballroom</v>
      </c>
      <c r="H501" t="str">
        <f>IF('Cleaned-data'!C501="unknown","Unknown",PROPER(TRIM('Cleaned-data'!C501)))</f>
        <v>Baz Luhrmann</v>
      </c>
      <c r="I501" t="str">
        <f t="shared" si="15"/>
        <v>United States</v>
      </c>
      <c r="J501" s="2">
        <v>44939</v>
      </c>
    </row>
    <row r="502" spans="1:10" x14ac:dyDescent="0.3">
      <c r="A502" t="s">
        <v>2886</v>
      </c>
      <c r="C502" t="s">
        <v>555</v>
      </c>
      <c r="D502" t="s">
        <v>16</v>
      </c>
      <c r="E502" s="2">
        <v>44940</v>
      </c>
      <c r="G502" t="str">
        <f t="shared" si="14"/>
        <v>Sweeney Todd: The Demon Barber of Fleet Street</v>
      </c>
      <c r="H502" t="str">
        <f>IF('Cleaned-data'!C502="unknown","Unknown",PROPER(TRIM('Cleaned-data'!C502)))</f>
        <v>Tim Burton</v>
      </c>
      <c r="I502" t="str">
        <f t="shared" si="15"/>
        <v>United States</v>
      </c>
      <c r="J502" s="2">
        <v>44940</v>
      </c>
    </row>
    <row r="503" spans="1:10" x14ac:dyDescent="0.3">
      <c r="A503" t="s">
        <v>2892</v>
      </c>
      <c r="C503" t="s">
        <v>2890</v>
      </c>
      <c r="D503" t="s">
        <v>16</v>
      </c>
      <c r="E503" s="2">
        <v>44941</v>
      </c>
      <c r="G503" t="str">
        <f t="shared" si="14"/>
        <v>The Crying Game</v>
      </c>
      <c r="H503" t="str">
        <f>IF('Cleaned-data'!C503="unknown","Unknown",PROPER(TRIM('Cleaned-data'!C503)))</f>
        <v>Neil Jordan</v>
      </c>
      <c r="I503" t="str">
        <f t="shared" si="15"/>
        <v>United States</v>
      </c>
      <c r="J503" s="2">
        <v>44941</v>
      </c>
    </row>
    <row r="504" spans="1:10" x14ac:dyDescent="0.3">
      <c r="A504" t="s">
        <v>2897</v>
      </c>
      <c r="C504" t="s">
        <v>2898</v>
      </c>
      <c r="D504" t="s">
        <v>16</v>
      </c>
      <c r="E504" s="2">
        <v>44942</v>
      </c>
      <c r="G504" t="str">
        <f t="shared" si="14"/>
        <v>The Lamb</v>
      </c>
      <c r="H504" t="str">
        <f>IF('Cleaned-data'!C504="unknown","Unknown",PROPER(TRIM('Cleaned-data'!C504)))</f>
        <v>Timothy Reckart</v>
      </c>
      <c r="I504" t="str">
        <f t="shared" si="15"/>
        <v>United States</v>
      </c>
      <c r="J504" s="2">
        <v>44942</v>
      </c>
    </row>
    <row r="505" spans="1:10" x14ac:dyDescent="0.3">
      <c r="A505" t="s">
        <v>2903</v>
      </c>
      <c r="C505" t="s">
        <v>2904</v>
      </c>
      <c r="D505" t="s">
        <v>16</v>
      </c>
      <c r="E505" s="2">
        <v>44943</v>
      </c>
      <c r="G505" t="str">
        <f t="shared" si="14"/>
        <v>The Longest Yard</v>
      </c>
      <c r="H505" t="str">
        <f>IF('Cleaned-data'!C505="unknown","Unknown",PROPER(TRIM('Cleaned-data'!C505)))</f>
        <v>Robert Aldrich</v>
      </c>
      <c r="I505" t="str">
        <f t="shared" si="15"/>
        <v>United States</v>
      </c>
      <c r="J505" s="2">
        <v>44943</v>
      </c>
    </row>
    <row r="506" spans="1:10" x14ac:dyDescent="0.3">
      <c r="A506" t="s">
        <v>2909</v>
      </c>
      <c r="C506" t="s">
        <v>2910</v>
      </c>
      <c r="D506" t="s">
        <v>16</v>
      </c>
      <c r="E506" s="2">
        <v>44944</v>
      </c>
      <c r="G506" t="str">
        <f t="shared" si="14"/>
        <v>The Longshots</v>
      </c>
      <c r="H506" t="str">
        <f>IF('Cleaned-data'!C506="unknown","Unknown",PROPER(TRIM('Cleaned-data'!C506)))</f>
        <v>Fred Durst</v>
      </c>
      <c r="I506" t="str">
        <f t="shared" si="15"/>
        <v>United States</v>
      </c>
      <c r="J506" s="2">
        <v>44944</v>
      </c>
    </row>
    <row r="507" spans="1:10" x14ac:dyDescent="0.3">
      <c r="A507" t="s">
        <v>2915</v>
      </c>
      <c r="C507" t="s">
        <v>1208</v>
      </c>
      <c r="D507" t="s">
        <v>16</v>
      </c>
      <c r="E507" s="2">
        <v>44945</v>
      </c>
      <c r="G507" t="str">
        <f t="shared" si="14"/>
        <v>The Space Between Us</v>
      </c>
      <c r="H507" t="str">
        <f>IF('Cleaned-data'!C507="unknown","Unknown",PROPER(TRIM('Cleaned-data'!C507)))</f>
        <v>Peter Chelsom</v>
      </c>
      <c r="I507" t="str">
        <f t="shared" si="15"/>
        <v>United States</v>
      </c>
      <c r="J507" s="2">
        <v>44945</v>
      </c>
    </row>
    <row r="508" spans="1:10" x14ac:dyDescent="0.3">
      <c r="A508" t="s">
        <v>2920</v>
      </c>
      <c r="C508" t="s">
        <v>2963</v>
      </c>
      <c r="D508" t="s">
        <v>16</v>
      </c>
      <c r="E508" s="2">
        <v>44946</v>
      </c>
      <c r="G508" t="str">
        <f t="shared" si="14"/>
        <v>The Twilight Zone (Original Series)</v>
      </c>
      <c r="H508" t="str">
        <f>IF('Cleaned-data'!C508="unknown","Unknown",PROPER(TRIM('Cleaned-data'!C508)))</f>
        <v>Unknown</v>
      </c>
      <c r="I508" t="str">
        <f t="shared" si="15"/>
        <v>United States</v>
      </c>
      <c r="J508" s="2">
        <v>44946</v>
      </c>
    </row>
    <row r="509" spans="1:10" x14ac:dyDescent="0.3">
      <c r="A509" t="s">
        <v>2925</v>
      </c>
      <c r="C509" t="s">
        <v>2926</v>
      </c>
      <c r="D509" t="s">
        <v>16</v>
      </c>
      <c r="E509" s="2">
        <v>44947</v>
      </c>
      <c r="G509" t="str">
        <f t="shared" si="14"/>
        <v>To Wong Foo, Thanks for Everything! Julie Newmar</v>
      </c>
      <c r="H509" t="str">
        <f>IF('Cleaned-data'!C509="unknown","Unknown",PROPER(TRIM('Cleaned-data'!C509)))</f>
        <v>Beeban Kidron</v>
      </c>
      <c r="I509" t="str">
        <f t="shared" si="15"/>
        <v>United States</v>
      </c>
      <c r="J509" s="2">
        <v>44947</v>
      </c>
    </row>
    <row r="510" spans="1:10" x14ac:dyDescent="0.3">
      <c r="A510" t="s">
        <v>2931</v>
      </c>
      <c r="C510" t="s">
        <v>2932</v>
      </c>
      <c r="D510" t="s">
        <v>16</v>
      </c>
      <c r="E510" s="2">
        <v>44948</v>
      </c>
      <c r="G510" t="str">
        <f t="shared" si="14"/>
        <v>Tremors 2: Aftershocks</v>
      </c>
      <c r="H510" t="str">
        <f>IF('Cleaned-data'!C510="unknown","Unknown",PROPER(TRIM('Cleaned-data'!C510)))</f>
        <v>S.S. Wilson</v>
      </c>
      <c r="I510" t="str">
        <f t="shared" si="15"/>
        <v>United States</v>
      </c>
      <c r="J510" s="2">
        <v>44948</v>
      </c>
    </row>
    <row r="511" spans="1:10" x14ac:dyDescent="0.3">
      <c r="A511" t="s">
        <v>2937</v>
      </c>
      <c r="C511" t="s">
        <v>1272</v>
      </c>
      <c r="D511" t="s">
        <v>16</v>
      </c>
      <c r="E511" s="2">
        <v>44949</v>
      </c>
      <c r="G511" t="str">
        <f t="shared" si="14"/>
        <v>Tremors 6: A Cold Day in Hell</v>
      </c>
      <c r="H511" t="str">
        <f>IF('Cleaned-data'!C511="unknown","Unknown",PROPER(TRIM('Cleaned-data'!C511)))</f>
        <v>Don Michael Paul</v>
      </c>
      <c r="I511" t="str">
        <f t="shared" si="15"/>
        <v>United States</v>
      </c>
      <c r="J511" s="2">
        <v>44949</v>
      </c>
    </row>
    <row r="512" spans="1:10" x14ac:dyDescent="0.3">
      <c r="A512" t="s">
        <v>2942</v>
      </c>
      <c r="C512" t="s">
        <v>2963</v>
      </c>
      <c r="D512" t="s">
        <v>16</v>
      </c>
      <c r="E512" s="2">
        <v>44950</v>
      </c>
      <c r="G512" t="str">
        <f t="shared" si="14"/>
        <v>Twin Peaks</v>
      </c>
      <c r="H512" t="str">
        <f>IF('Cleaned-data'!C512="unknown","Unknown",PROPER(TRIM('Cleaned-data'!C512)))</f>
        <v>Unknown</v>
      </c>
      <c r="I512" t="str">
        <f t="shared" si="15"/>
        <v>United States</v>
      </c>
      <c r="J512" s="2">
        <v>44950</v>
      </c>
    </row>
    <row r="513" spans="1:10" x14ac:dyDescent="0.3">
      <c r="A513" t="s">
        <v>2947</v>
      </c>
      <c r="C513" t="s">
        <v>2948</v>
      </c>
      <c r="D513" t="s">
        <v>16</v>
      </c>
      <c r="E513" s="2">
        <v>44951</v>
      </c>
      <c r="G513" t="str">
        <f t="shared" si="14"/>
        <v>Under an Arctic Sky</v>
      </c>
      <c r="H513" t="str">
        <f>IF('Cleaned-data'!C513="unknown","Unknown",PROPER(TRIM('Cleaned-data'!C513)))</f>
        <v>Chris Burkard</v>
      </c>
      <c r="I513" t="str">
        <f t="shared" si="15"/>
        <v>United States</v>
      </c>
      <c r="J513" s="2">
        <v>44951</v>
      </c>
    </row>
    <row r="514" spans="1:10" x14ac:dyDescent="0.3">
      <c r="A514" t="s">
        <v>2953</v>
      </c>
      <c r="C514" t="s">
        <v>2954</v>
      </c>
      <c r="D514" t="s">
        <v>16</v>
      </c>
      <c r="E514" s="2">
        <v>44952</v>
      </c>
      <c r="G514" t="str">
        <f t="shared" si="14"/>
        <v>Yes or No</v>
      </c>
      <c r="H514" t="str">
        <f>IF('Cleaned-data'!C514="unknown","Unknown",PROPER(TRIM('Cleaned-data'!C514)))</f>
        <v>Saratswadee Wongsomphet</v>
      </c>
      <c r="I514" t="str">
        <f t="shared" si="15"/>
        <v>United States</v>
      </c>
      <c r="J514" s="2">
        <v>44952</v>
      </c>
    </row>
    <row r="515" spans="1:10" x14ac:dyDescent="0.3">
      <c r="A515" t="s">
        <v>2959</v>
      </c>
      <c r="C515" t="s">
        <v>1111</v>
      </c>
      <c r="D515" t="s">
        <v>16</v>
      </c>
      <c r="E515" s="2">
        <v>44953</v>
      </c>
      <c r="G515" t="str">
        <f t="shared" ref="G515" si="16">TRIM(A515)</f>
        <v>Zodiac</v>
      </c>
      <c r="H515" t="str">
        <f>IF('Cleaned-data'!C515="unknown","Unknown",PROPER(TRIM('Cleaned-data'!C515)))</f>
        <v>David Fincher</v>
      </c>
      <c r="I515" t="str">
        <f t="shared" ref="I515" si="17">TRIM(D515)</f>
        <v>United States</v>
      </c>
      <c r="J515" s="2">
        <v>44953</v>
      </c>
    </row>
  </sheetData>
  <pageMargins left="0.7" right="0.7" top="0.75" bottom="0.75" header="0.3" footer="0.3"/>
  <extLst>
    <ext xmlns:x14="http://schemas.microsoft.com/office/spreadsheetml/2009/9/main" uri="{05C60535-1F16-4fd2-B633-F4F36F0B64E0}">
      <x14:sparklineGroups xmlns:xm="http://schemas.microsoft.com/office/excel/2006/main">
        <x14:sparklineGroup type="column" displayEmptyCellsAs="gap" xr2:uid="{B10809F5-0A64-489B-80E0-5578C800047C}">
          <x14:colorSeries rgb="FF376092"/>
          <x14:colorNegative rgb="FFD00000"/>
          <x14:colorAxis rgb="FF000000"/>
          <x14:colorMarkers rgb="FFD00000"/>
          <x14:colorFirst rgb="FFD00000"/>
          <x14:colorLast rgb="FFD00000"/>
          <x14:colorHigh rgb="FFD00000"/>
          <x14:colorLow rgb="FFD00000"/>
          <x14:sparklines>
            <x14:sparkline>
              <xm:f>'Cleaned-data'!C1:C1</xm:f>
              <xm:sqref>C2</xm:sqref>
            </x14:sparkline>
          </x14:sparklines>
        </x14:sparklineGroup>
      </x14:sparklineGroup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netflix_titles</vt:lpstr>
      <vt:lpstr>Cleaned-data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Gunda Nikhil</dc:creator>
  <cp:lastModifiedBy>Gunda Nikhil</cp:lastModifiedBy>
  <dcterms:created xsi:type="dcterms:W3CDTF">2026-01-15T14:23:19Z</dcterms:created>
  <dcterms:modified xsi:type="dcterms:W3CDTF">2026-01-15T14:23:19Z</dcterms:modified>
</cp:coreProperties>
</file>